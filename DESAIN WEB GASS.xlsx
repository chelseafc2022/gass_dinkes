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Pelaporan\"/>
    </mc:Choice>
  </mc:AlternateContent>
  <xr:revisionPtr revIDLastSave="0" documentId="13_ncr:1_{1B49BBFE-D796-40EE-A76B-5C98642799D9}" xr6:coauthVersionLast="47" xr6:coauthVersionMax="47" xr10:uidLastSave="{00000000-0000-0000-0000-000000000000}"/>
  <bookViews>
    <workbookView xWindow="-108" yWindow="-108" windowWidth="23256" windowHeight="12456" xr2:uid="{A5C4AA87-4190-43C8-BF52-3A4733139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7" i="1" l="1"/>
  <c r="X137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11" i="1"/>
  <c r="X111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85" i="1"/>
  <c r="X85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X83" i="1" s="1"/>
  <c r="W84" i="1"/>
  <c r="X84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71" i="1"/>
  <c r="X71" i="1" s="1"/>
</calcChain>
</file>

<file path=xl/sharedStrings.xml><?xml version="1.0" encoding="utf-8"?>
<sst xmlns="http://schemas.openxmlformats.org/spreadsheetml/2006/main" count="361" uniqueCount="241">
  <si>
    <t>PROGRAM PENUNJANG URUSAN PEMERINTAHAN DAERAH KABUPATEN/KOTA</t>
  </si>
  <si>
    <t>Penyusunan Dokumen Perencanaan Perangkat Daerah</t>
  </si>
  <si>
    <t>Koordinasi dan Penyusunan Dokumen RKA-SKPD</t>
  </si>
  <si>
    <t>Koordinasi dan Penyusunan Dokumen Perubahan RKA-SKPD</t>
  </si>
  <si>
    <t>Koordinasi dan Penyusunan DPA-SKPD</t>
  </si>
  <si>
    <t>Koordinasi dan Penyusunan Perubahan DPA- SKPD</t>
  </si>
  <si>
    <t>Koordinasi dan Penyusunan Laporan Capaian Kinerja dan Ikhtisar Realisasi Kinerja SKPD</t>
  </si>
  <si>
    <t>Perencanaan, Penganggaran, dan Evaluasi Kinerja Perangkat Daerah</t>
  </si>
  <si>
    <t>Administrasi Keuangan Perangkat Daerah</t>
  </si>
  <si>
    <t>Administrasi Barang Milik Daerah pada Perangkat Daerah</t>
  </si>
  <si>
    <t>Administrasi Kepegawaian Perangkat Daerah</t>
  </si>
  <si>
    <t>Administrasi Umum Perangkat Daerah</t>
  </si>
  <si>
    <t>Pengadaan Barang Milik Daerah Penunjang Urusan Pemerintah Daerah</t>
  </si>
  <si>
    <t>Penyediaan Jasa Penunjang Urusan Pemerintahan Daerah</t>
  </si>
  <si>
    <t>Pemeliharaan Barang Milik Daerah Penunjang Urusan Pemerintahan Daerah</t>
  </si>
  <si>
    <t>Peningkatan Pelayanan BLUD</t>
  </si>
  <si>
    <t>PROGRAM PEMENUHAN UPAYA KESEHATAN PERORANGAN DAN UPAYA KESEHATAN MASYARAKAT</t>
  </si>
  <si>
    <t>Penyediaan Fasilitas Pelayanan Kesehatan untuk UKM dan UKP Kewenangan Daerah Kabupaten/Kota</t>
  </si>
  <si>
    <t>Penyelenggaraan Sistem Informasi Kesehatan Secara Terintegrasi</t>
  </si>
  <si>
    <t>Penerbitan Izin Rumah Sakit Kelas C, D dan Fasilitas Pelayanan Kesehatan Tingkat Daerah Kabupaten/Kota</t>
  </si>
  <si>
    <t>Penyediaan Layanan Kesehatan untuk UKM dan UKP Rujukan Tingkat Daerah Kabupaten/Kota</t>
  </si>
  <si>
    <t>PROGRAM PENINGKATAN KAPASITAS SUMBER DAYA MANUSIA KESEHATAN</t>
  </si>
  <si>
    <t>Pemberian Izin PraktikTenaga Kesehatan diWilayah Kabupaten/Kota</t>
  </si>
  <si>
    <t>Perencanaan Kebutuhan dan Pendayagunaan Sumber Daya Manusia Kesehatan untuk UKP dan UKM di Wilayah Kabupaten</t>
  </si>
  <si>
    <t>Pengembangan Mutu dan Peningkatan Kompetensi Teknis Sumber Daya Manusia Kesehatan Tingkat Daerah Kabupaten/Kota</t>
  </si>
  <si>
    <t>PROGRAM SEDIAAN FARMASI, ALAT KESEHATAN DAN MAKANAN MINUMAN</t>
  </si>
  <si>
    <t>Pemberian Izin Apotek, Toko Obat, Toko Alat Kesehatan, dan Optikal, Usaha Mikro Obat Tradisional (UMOT)</t>
  </si>
  <si>
    <t>PemberianSertifikat Produksi untuk Sarana Produksi Alat KesehatanKelas 1 tertentu dan Perbekalan Kesehatan Rumah Tangga Kelas 1 Tertentu Perusahaan Rumah Tangga</t>
  </si>
  <si>
    <t>Penerbitan Sertifikat Produksi Pangan Industri Rumah Tangga dan Nomor P-IRT sebagai izin produksi untuk Produk Makanan Minuman Tertentu yang dapat diproduksi oleh industri Rumah Tangga</t>
  </si>
  <si>
    <t>Penerbitan Sertifikat Laik Higiene Sanitasi Tempat Pengelolaan Makanan (TPM) antara lain Jasa Boga, Rumah Makan/Restoran dan Depot Air Minum (DAM)</t>
  </si>
  <si>
    <t>Penerbitan Stiker Pembinaan pada Makanan Jajanan dan Sentra Makanan Jajanan</t>
  </si>
  <si>
    <t>Pemeriksaan dan Tindak Lanjut Hasil Pemeriksaan Post Market pada Produksi dan Produk Makanan Minuman Industri Rumah Tangga</t>
  </si>
  <si>
    <t>PROGRAM PEMBERDAYAAN MASYARAKAT BIDANG KESEHATAN</t>
  </si>
  <si>
    <t>Advokasi. Pemberdayaan. Kemitraan. Peningkatan Peran serta Masyarakat dan Lintas Sektor Tingkat Daerah Kabupaten/Kota</t>
  </si>
  <si>
    <t>Pelaksanaan Sehat dalam rangka Promotif Preventif Tingkat Daerah Kabupaten/Kota</t>
  </si>
  <si>
    <t>Pengembangan dan Pelaksanaan Upaya Kesehatan Bersumber Daya Masyarakat (UKBM) Tingkat Daerah Kabupaten/Kota</t>
  </si>
  <si>
    <t>PROGRAM</t>
  </si>
  <si>
    <t>DINAS KESEHATAN</t>
  </si>
  <si>
    <t>KEGIATAN</t>
  </si>
  <si>
    <t>INDIKATOR</t>
  </si>
  <si>
    <t>PENANGGUNG JAWAB</t>
  </si>
  <si>
    <t>OPD</t>
  </si>
  <si>
    <t>JAN</t>
  </si>
  <si>
    <t>FEB</t>
  </si>
  <si>
    <t>MAR</t>
  </si>
  <si>
    <t>APR</t>
  </si>
  <si>
    <t>MEI</t>
  </si>
  <si>
    <t>JUN</t>
  </si>
  <si>
    <t>JUL</t>
  </si>
  <si>
    <t>AGS</t>
  </si>
  <si>
    <t>SEP</t>
  </si>
  <si>
    <t>OKT</t>
  </si>
  <si>
    <t>NOV</t>
  </si>
  <si>
    <t>DES</t>
  </si>
  <si>
    <t>CAPAIAN KINERJA</t>
  </si>
  <si>
    <t>TARGET KINERJA 2026</t>
  </si>
  <si>
    <t>TARGET KEUANGAN 2026</t>
  </si>
  <si>
    <t>CAPAIAN KEUANGAN (Rp.)</t>
  </si>
  <si>
    <t>TAHUN 2026 (KIN)</t>
  </si>
  <si>
    <t>TAHUN 2026 (KEU)</t>
  </si>
  <si>
    <t>SUB KEGIATAN</t>
  </si>
  <si>
    <t>Penyediaan Gaji dan Tunjangan ASN</t>
  </si>
  <si>
    <t>Penyediaan Administrasi Pelaksanaan Tugas ASN</t>
  </si>
  <si>
    <t>Pelaksanaan Penatausahaan dan Pengujian/Verifikasi Keuangan SKPD</t>
  </si>
  <si>
    <t>Koordinasi dan Pelaksanaan Akuntansi SKPD</t>
  </si>
  <si>
    <t>Koordinasi dan Penyusunan Laporan Keuangan Akhir Tahun SKPD</t>
  </si>
  <si>
    <t>Koordinasi dan Penyusunan Laporan Keuangan Bulanan/ Triwulanan/ Semesteran SKPD</t>
  </si>
  <si>
    <t>Penyusunan Perencanaan Kebutuhan Barang Milik Daerah SKPD</t>
  </si>
  <si>
    <t>Pengamanan Barang Milik Daerah SKPD</t>
  </si>
  <si>
    <t>Pengadaan Pakaian Dinas beserta Atribut Kelengkapannya</t>
  </si>
  <si>
    <t>Pendataan dan Pengolahan Administrasi Kepegawaian</t>
  </si>
  <si>
    <t>Koordinasi dan Pelaksanaan Sistem Informasi Kepegawaian</t>
  </si>
  <si>
    <t>Monitoring, Evaluasi, dan Penilaian Kinerja Pegawai</t>
  </si>
  <si>
    <t>Pendidikan dan Pelatihan Pegawai Berdasarkan Tugas dan Fungsi</t>
  </si>
  <si>
    <t>Bimbingan Teknis Implementasi Peraturan Perundang-Undangan</t>
  </si>
  <si>
    <t>Penyediaan Komponen Instalasi Listrik/Penerangan Bangunan Kantor</t>
  </si>
  <si>
    <t>Penyediaan Peralatan dan Perlengkapan Kantor</t>
  </si>
  <si>
    <t>Penyediaan Peralatan Rumah Tangga</t>
  </si>
  <si>
    <t>Penyediaan Bahan Logistik Kantor</t>
  </si>
  <si>
    <t>Penyediaan Barang Cetakan dan Penggandaan</t>
  </si>
  <si>
    <t>Penyediaan Bahan Bacaan dan Peraturan Perundang-undangan</t>
  </si>
  <si>
    <t>Penyediaan Bahan/Material</t>
  </si>
  <si>
    <t>Fasilitasi Kunjungan Tamu</t>
  </si>
  <si>
    <t>Penyelenggaraan Rapat Koordinasi dan Konsultasi SKPD</t>
  </si>
  <si>
    <t>Dukungan Pelaksanaan Sistem Pemerintahan Berbasis Elektronik pada SKPD</t>
  </si>
  <si>
    <t>Pengadaan Kendaraan Perorangan Dinas atau Kendaraan Dinas Jabatan</t>
  </si>
  <si>
    <t>Pengadaan Kendaraan Dinas Operasional atau Lapangan</t>
  </si>
  <si>
    <t>Pengadaan Alat Angkutan Darat Tak Bermotor</t>
  </si>
  <si>
    <t>Pengadaan Peralatan dan Mesin Lainnya</t>
  </si>
  <si>
    <t>Pengadaan Aset Tak Berwujud</t>
  </si>
  <si>
    <t>Pengadaan Sarana dan Prasarana Gedung Kantor atau Bangunan Lainnya</t>
  </si>
  <si>
    <t>Pengadaan Sarana dan Prasarana Pendukung Gedung Kantor atau Bangunan Lainnya</t>
  </si>
  <si>
    <t>Penyediaan Jasa Komunikasi, Sumber Daya Air dan Listrik</t>
  </si>
  <si>
    <t>Penyediaan Jasa Peralatan dan Perlengkapan Kantor</t>
  </si>
  <si>
    <t>Penyediaan Jasa Pelayanan Umum Kantor</t>
  </si>
  <si>
    <t>Penyediaan Jasa Pemeliharaan, Biaya Pemeliharaan, dan Pajak Kendaraan Perorangan Dinas atau Kendaraan Dinas Jabatan</t>
  </si>
  <si>
    <t>Penyediaan Jasa Pemeliharaan, Biaya Pemeliharaan, Pajak dan Perizinan Kendaraan Dinas Operasional atau Lapangan</t>
  </si>
  <si>
    <t>Penyediaan Jasa Pemeliharaan, Biaya Pemeliharaan dan Perizinan Alat Angkutan Darat Tak Bermotor</t>
  </si>
  <si>
    <t>Pemeliharaan Mebel</t>
  </si>
  <si>
    <t>Pemeliharaan Peralatan dan Mesin Lainnya</t>
  </si>
  <si>
    <t>Pemeliharaan Aset Tetap Lainnya</t>
  </si>
  <si>
    <t>Pemeliharaan/Rehabilitasi Gedung Kantor dan Bangunan Lainnya</t>
  </si>
  <si>
    <t>Pemeliharaan/Rehabilitasi Sarana dan Prasarana Gedung Kantor atau Bangunan Lainnya</t>
  </si>
  <si>
    <t>Pemeliharaan/Rehabilitasi Sarana dan Prasarana Pendukung Gedung Kantor atau Bangunan Lainnya</t>
  </si>
  <si>
    <t>Pelayanan dan Penunjang Pelayanan BLUD</t>
  </si>
  <si>
    <t>Pembangunan Puskesmas</t>
  </si>
  <si>
    <t>Pembangunan Fasilitas Kesehatan Lainnya</t>
  </si>
  <si>
    <t>Pembangunan Rumah Dinas Tenaga Kesehatan</t>
  </si>
  <si>
    <t>Pengembangan Puskesmas</t>
  </si>
  <si>
    <t>Pengembangan Fasilitas Kesehatan Lainnya</t>
  </si>
  <si>
    <t>Rehabilitasi dan Pemeliharaan Puskesmas</t>
  </si>
  <si>
    <t>Rehabilitasi dan Pemeliharaan Fasilitas Kesehatan Lainnya</t>
  </si>
  <si>
    <t>Rehabilitasi dan Pemeliharaan Rumah Dinas Tenaga Kesehatan</t>
  </si>
  <si>
    <t>Pengadaan Alat Kesehatan/Alat Penunjang Medik Fasilitas Pelayanan Kesehatan</t>
  </si>
  <si>
    <t>Pengadaan dan Pemeliharaan Alat Kalibrasi</t>
  </si>
  <si>
    <t>Pemeliharaan Rutin dan Berkala Alat Kesehatan/Alat Penunjang Medik Fasilitas Pelayanan Kesehatan</t>
  </si>
  <si>
    <t>Pengadaan Obat, Bahan Habis Pakai, Bahan Medis Habis Pakai,, Vaksin, Makanan dan Minuman di Fasilitas Kesehatan</t>
  </si>
  <si>
    <t>Pengelolaan Pelayanan Kesehatan Dasar Melalui Pendekatan Keluarga</t>
  </si>
  <si>
    <t>Pengembangan Pendekatan Pelayanan Kesehatan di DTPK (Pelayanan Kesehatan Bergerak, Gugus Pulau, Pelayanan Kesehatan Berbasis Telemedicine)</t>
  </si>
  <si>
    <t>Distribusi Alat Kesehatan, Obat, Bahan Habis Pakai, Bahan Medis Habis Pakai, Vaksin, Makanan dan Minuman ke Fasilitas Kesehatan</t>
  </si>
  <si>
    <t>Pengelolaan Pelayanan Kesehatan Ibu Hamil</t>
  </si>
  <si>
    <t>Pengelolaan Pelayanan Kesehatan Ibu Bersalin</t>
  </si>
  <si>
    <t>Pengelolaan Pelayanan Kesehatan Bayi Baru Lahir</t>
  </si>
  <si>
    <t>Pengelolaan Pelayanan Kesehatan Balita</t>
  </si>
  <si>
    <t>Pengelolaan Pelayanan Kesehatan pada Usia Pendidikan Dasar</t>
  </si>
  <si>
    <t>Pengelolaan Pelayanan Kesehatan pada Usia Produktif</t>
  </si>
  <si>
    <t>Pengelolaan Pelayanan Kesehatan pada Usia Lanjut</t>
  </si>
  <si>
    <t>Pengelolaan Pelayanan Kesehatan penderita Hipertensi</t>
  </si>
  <si>
    <t>Pengelolaan Pelayanan Kesehatan penderita Diabetes Melitus</t>
  </si>
  <si>
    <t>Pengelolaan Pelayanan Kesehatan Orang dengan Gangguan Jiwa Berat</t>
  </si>
  <si>
    <t>Pengelolaan Pelayanan Kesehatan Orang Terduga Tuberkulosis</t>
  </si>
  <si>
    <t>Pengelolaan Pelayanan Kesehatan Orang dengan Risiko Terinfeksi HIV</t>
  </si>
  <si>
    <t>Pengelolaan Pelayanan Kesehatan bagi Penduduk pada Kondisi Kejadian Luar Biasa (KLB)</t>
  </si>
  <si>
    <t>Pengelolaan Pelayanan Kesehatan bagi Penduduk Terdampak Krisis Kesehatan Akibat Bencana dan/atau Berpotensi Bencana</t>
  </si>
  <si>
    <t xml:space="preserve">Pengelolaan Pelayanan Kesehatan Gizi Masyarakat </t>
  </si>
  <si>
    <t>Pengelolaan Pelayanan Kesehatan Kerja dan Olahraga</t>
  </si>
  <si>
    <t>Pengelolaan Pelayanan Kesehatan Lingkungan</t>
  </si>
  <si>
    <t>Pengelolaan Pelayanan Promosi Kesehatan</t>
  </si>
  <si>
    <t>Pengelolaan Pelayanan Kesehatan Tradisional, Akupuntur, AsuhanMandiri, dan Tradisional Lainnya</t>
  </si>
  <si>
    <t>Pengelolaan Surveilans Kesehatan</t>
  </si>
  <si>
    <t>Pengelolaan Pelayanan Kesehatan Orang dengan Masalah Kesehatan Jiwa (ODMK)</t>
  </si>
  <si>
    <t>Pengelolaan Pelayanan Kesehatan Jiwa dan NAPZA</t>
  </si>
  <si>
    <t>Pengelolaan Upaya Pengurangan Risiko Krisis Kesehatan dan Pasca Krisis Kesehatan</t>
  </si>
  <si>
    <t>Pelayanan Kesehatan Penyakit Menular dan Tidak Menular</t>
  </si>
  <si>
    <t>Pengelolaan Jaminan Kesehatan Masyarakat</t>
  </si>
  <si>
    <t>Deteksi Dini Penyalahgunaan NAPZA di Fasyankes dan Sekolah</t>
  </si>
  <si>
    <t>Pengambilan dan Pengiriman Spesimen Penyakit Potensial KLB ke Laboratorium Rujukan/Nasional</t>
  </si>
  <si>
    <t>Penyelenggaraan Kabupaten/Kota Sehat</t>
  </si>
  <si>
    <t>Penyediaan Telemedicine di Fasilitas Pelayanan Kesehatan</t>
  </si>
  <si>
    <t xml:space="preserve">Operasional Pelayanan Puskesmas </t>
  </si>
  <si>
    <t>Pelaksanaan Akreditasi Fasilitas Kesehatan di Kabupaten/Kota</t>
  </si>
  <si>
    <t>Investigasi Awal Kejadian Tidak Diharapkan (Kejadian Ikutan Pasca Imunisasi dan Pemberian Obat Massal)</t>
  </si>
  <si>
    <t>Pelaksanaan Kewaspadaan Dini dan Respon Wabah</t>
  </si>
  <si>
    <t>Penyediaan dan Pengelolaan Sistem Penanganan Gawat Darurat Terpadu (SPGDT)</t>
  </si>
  <si>
    <t>Pengelolaan pelayanan kesehatan orang dengan Tuberkulosis</t>
  </si>
  <si>
    <t>Pengelolaan pelayanan kesehatan orang dengan HIV (ODHIV)</t>
  </si>
  <si>
    <t>Pengelolaan pelayanan kesehatan Malaria</t>
  </si>
  <si>
    <t>Pengelolaan Kawasan tanpa rokok</t>
  </si>
  <si>
    <t>Pengelolaan Pelayanan Kesehatan Reproduksi</t>
  </si>
  <si>
    <t>Pengelolaan upaya kesehatan Ibu dan Anak</t>
  </si>
  <si>
    <t>Pengelolaan Pelayanan Kelanjutusiaan</t>
  </si>
  <si>
    <t>Pengelolaan Layanan Imunisasi</t>
  </si>
  <si>
    <t>Pengelolaan Pelayanan Kesehatan Haji</t>
  </si>
  <si>
    <t>Pengelolaan Sistem Informasi Kesehatan</t>
  </si>
  <si>
    <t>Pengendalian dan Pengawasan serta Tindak Lanjut Pengawasan Perizinan Rumah Sakit Kelas C, D dan Fasilitas Pelayanan Kesehatan Lainnya</t>
  </si>
  <si>
    <t>Peningkatan Mutu Pelayanan Fasilitas Kesehatan</t>
  </si>
  <si>
    <t>FASILITAS KESEHATAN</t>
  </si>
  <si>
    <t>Andoolo</t>
  </si>
  <si>
    <t>Baito</t>
  </si>
  <si>
    <t>Basala</t>
  </si>
  <si>
    <t>Benua</t>
  </si>
  <si>
    <t>Kolono</t>
  </si>
  <si>
    <t>Konda</t>
  </si>
  <si>
    <t>Landono</t>
  </si>
  <si>
    <t>Laonti</t>
  </si>
  <si>
    <t>Moramo</t>
  </si>
  <si>
    <t>Mowila</t>
  </si>
  <si>
    <t>Palangga</t>
  </si>
  <si>
    <t>Ranomeeto</t>
  </si>
  <si>
    <t>Sabulakoa</t>
  </si>
  <si>
    <t>Tinanggea</t>
  </si>
  <si>
    <t>Wolasi</t>
  </si>
  <si>
    <t>KECAMATAN</t>
  </si>
  <si>
    <t>Buke</t>
  </si>
  <si>
    <t>Palangga Selatan</t>
  </si>
  <si>
    <t>Lalembuu</t>
  </si>
  <si>
    <t>Andoolo Barat</t>
  </si>
  <si>
    <t>Ranomeeto Barat</t>
  </si>
  <si>
    <t>Moramo Utara</t>
  </si>
  <si>
    <t>Angata</t>
  </si>
  <si>
    <t>Lainea</t>
  </si>
  <si>
    <t>Laeya</t>
  </si>
  <si>
    <t>Kolono Timur</t>
  </si>
  <si>
    <t>PKM Andoolo</t>
  </si>
  <si>
    <t>PKM Andoolo Utama</t>
  </si>
  <si>
    <t>PKM Amondo</t>
  </si>
  <si>
    <t>PKM Atari Jaya</t>
  </si>
  <si>
    <t>PKM Baito</t>
  </si>
  <si>
    <t>PKM Basala</t>
  </si>
  <si>
    <t>PKM Benua</t>
  </si>
  <si>
    <t>PKM Bimamaroa</t>
  </si>
  <si>
    <t>PKM Kolono</t>
  </si>
  <si>
    <t>PKM Konda</t>
  </si>
  <si>
    <t>PKM Landono</t>
  </si>
  <si>
    <t>PKM Lameuru</t>
  </si>
  <si>
    <t>PKM Lalowaru</t>
  </si>
  <si>
    <t>PKM Laonti</t>
  </si>
  <si>
    <t>PKM Moramo</t>
  </si>
  <si>
    <t>PKM Motaha</t>
  </si>
  <si>
    <t>PKM Mowila</t>
  </si>
  <si>
    <t>PKM Palangga</t>
  </si>
  <si>
    <t>PKM Pamandati</t>
  </si>
  <si>
    <t>PKM Punggaluku</t>
  </si>
  <si>
    <t>PKM Ranomeeto</t>
  </si>
  <si>
    <t>PKM Sabulakoa</t>
  </si>
  <si>
    <t>PKM Tinanggea</t>
  </si>
  <si>
    <t>PKM Tumbu-Tumbu Jaya</t>
  </si>
  <si>
    <t>PKM Tambolosu</t>
  </si>
  <si>
    <t>PKM Wolasi</t>
  </si>
  <si>
    <t xml:space="preserve">% </t>
  </si>
  <si>
    <t>BIDANG KESMAS</t>
  </si>
  <si>
    <t>Pelayanan Kesehatan Ibu Hamil Sesuai Standar</t>
  </si>
  <si>
    <t>Pelayanan Kesehatan Ibu Bersalin Sesuai Standar</t>
  </si>
  <si>
    <t>Pelayanan Kesehatan Bayi Baru Lahir Sesuai Standar</t>
  </si>
  <si>
    <t>Pengendalian Perizinan Praktik Tenaga Kesehatan</t>
  </si>
  <si>
    <t>Pembinaan dan Pengawasan Tenaga Kesehatan serta Tindak Lanjut Perizinan Praktik Tenaga Kesehatan</t>
  </si>
  <si>
    <t>Perencanaan   dan Distribusi serta Pemerataan Sumber Daya Manusia Kesehatan</t>
  </si>
  <si>
    <t>Pemenuhan Kebutuhan Sumber Daya Manusia Kesehatan Sesuai Standar</t>
  </si>
  <si>
    <t>Pembinaan dan Pengawasan Sumber Daya Manusia Kesehatan</t>
  </si>
  <si>
    <t>Pengendalian dan Pengawasan serta Tindak Lanjut Pengawasan Perizinan Apotek, Toko Obat, Toko Alat Kesehatan, dan Optikal, Usaha Mikro Obat Tradisional (UMOT)</t>
  </si>
  <si>
    <t>Pengendalian dan Pengawasan serta Tindak Lanjut PengawasanSertifikat Produksi Alat Kesehatan Kelas 1 Tertentu dan PKRT Kelas1TertentuPerusahaan Rumah Tangga</t>
  </si>
  <si>
    <t>Pengendalian dan Pengawasan serta Tindak Lanjut Pengawasan Sertifikat Produksi Pangan Industri Rumah Tangga dan Nomor P-IRT sebagai izin produksi untuk Produk Makanan Minuman Tertentu yang dapat diproduksi oleh industri Rumah Tangga</t>
  </si>
  <si>
    <t>Pengendalian dan Pengawasan serta Tindak Lanjut Pengawasan Penerbitan Sertifikat Laik Higiene Sanitasi Tempat Pengelolaan Makanan (TPM) antara lain Jasa Boga, Rumah Makan/Restoran dan Depot Air Minum (DAM)</t>
  </si>
  <si>
    <t>Pengendalian dan Pengawasan serta Tindak Lanjut Penerbitan Stiker Pembinaan pada Makanan Jajanan dan Sentra Makanan Jajanan</t>
  </si>
  <si>
    <t>Pemeriksaan Post Market pada Produk Makanan-Minuman Industri Rumah Tangga yang Beredar dan Pengawasan serta Tindak Lanjut Pengawasan</t>
  </si>
  <si>
    <t>Peningkatan Upaya Promosi Kesehatan Advokasi, Kemitraan dan Pemberdayaan Masyarakat</t>
  </si>
  <si>
    <t>Teknologi Tepat Guna (TTG) sesuai lokal spesifik daerah dalam pengamanan kualitas air minum dan sanitasi aman</t>
  </si>
  <si>
    <t>Penyelenggaraan Promosi Kesehatan dan Gerakan Hidup Bersih dan Sehat</t>
  </si>
  <si>
    <t>Penumbuhan Kesadaran Keluarga dalam Peningkatan Derajat Kesehatan Keluarga dan Lingkungan dengan Menerapkan Perilaku Hidup Bersih dan Sehat</t>
  </si>
  <si>
    <t>Bimbingan Teknis dan Supervisi Pengembangan dan Pelaksanaan Upaya Kesehatan Bersumber Daya Masyarakat (UKBM)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</si>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</sst>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6A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6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56D7-FA06-4613-A9C5-43A92895D70B}">
  <dimension ref="A2:AM211"/>
  <sheetViews>
    <sheetView tabSelected="1" zoomScale="80" zoomScaleNormal="80" workbookViewId="0">
      <pane xSplit="3" ySplit="3" topLeftCell="I4" activePane="bottomRight" state="frozen"/>
      <selection pane="topRight" activeCell="D1" sqref="D1"/>
      <selection pane="bottomLeft" activeCell="A4" sqref="A4"/>
      <selection pane="bottomRight" activeCell="X8" sqref="X8"/>
    </sheetView>
  </sheetViews>
  <sheetFormatPr defaultRowHeight="14.4" x14ac:dyDescent="0.3"/>
  <cols>
    <col min="1" max="1" width="0.77734375" hidden="1" customWidth="1"/>
    <col min="2" max="2" width="7.44140625" customWidth="1"/>
    <col min="3" max="3" width="4.5546875" style="2" customWidth="1"/>
    <col min="4" max="4" width="28.44140625" style="2" customWidth="1"/>
    <col min="5" max="5" width="35.77734375" style="2" customWidth="1"/>
    <col min="6" max="6" width="22.21875" customWidth="1"/>
    <col min="7" max="7" width="16.88671875" style="21" customWidth="1"/>
    <col min="8" max="8" width="19.109375" customWidth="1"/>
    <col min="9" max="9" width="23.5546875" customWidth="1"/>
    <col min="10" max="10" width="12.33203125" customWidth="1"/>
    <col min="11" max="22" width="5.77734375" customWidth="1"/>
    <col min="23" max="23" width="11.77734375" customWidth="1"/>
    <col min="24" max="24" width="10.21875" customWidth="1"/>
    <col min="25" max="25" width="12.33203125" style="1" customWidth="1"/>
    <col min="26" max="37" width="5.77734375" style="1" customWidth="1"/>
    <col min="38" max="38" width="10.21875" style="1" customWidth="1"/>
    <col min="39" max="39" width="6.88671875" style="1" customWidth="1"/>
  </cols>
  <sheetData>
    <row r="2" spans="2:39" ht="43.2" x14ac:dyDescent="0.3">
      <c r="B2" s="3" t="s">
        <v>41</v>
      </c>
      <c r="C2" s="4" t="s">
        <v>36</v>
      </c>
      <c r="D2" s="4" t="s">
        <v>38</v>
      </c>
      <c r="E2" s="4" t="s">
        <v>60</v>
      </c>
      <c r="F2" s="5" t="s">
        <v>39</v>
      </c>
      <c r="G2" s="22" t="s">
        <v>40</v>
      </c>
      <c r="H2" s="16" t="s">
        <v>182</v>
      </c>
      <c r="I2" s="16" t="s">
        <v>166</v>
      </c>
      <c r="J2" s="6" t="s">
        <v>55</v>
      </c>
      <c r="K2" s="7" t="s">
        <v>54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12" t="s">
        <v>58</v>
      </c>
      <c r="X2" s="12" t="s">
        <v>219</v>
      </c>
      <c r="Y2" s="18" t="s">
        <v>56</v>
      </c>
      <c r="Z2" s="26" t="s">
        <v>57</v>
      </c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18" t="s">
        <v>59</v>
      </c>
      <c r="AM2" s="18" t="s">
        <v>240</v>
      </c>
    </row>
    <row r="3" spans="2:39" s="1" customFormat="1" x14ac:dyDescent="0.3">
      <c r="B3" s="5" t="s">
        <v>37</v>
      </c>
      <c r="C3" s="8"/>
      <c r="D3" s="11"/>
      <c r="E3" s="11"/>
      <c r="F3" s="8"/>
      <c r="G3" s="23"/>
      <c r="H3" s="16"/>
      <c r="I3" s="16"/>
      <c r="J3" s="6"/>
      <c r="K3" s="9" t="s">
        <v>42</v>
      </c>
      <c r="L3" s="9" t="s">
        <v>43</v>
      </c>
      <c r="M3" s="9" t="s">
        <v>44</v>
      </c>
      <c r="N3" s="9" t="s">
        <v>45</v>
      </c>
      <c r="O3" s="9" t="s">
        <v>46</v>
      </c>
      <c r="P3" s="9" t="s">
        <v>47</v>
      </c>
      <c r="Q3" s="9" t="s">
        <v>48</v>
      </c>
      <c r="R3" s="9" t="s">
        <v>49</v>
      </c>
      <c r="S3" s="9" t="s">
        <v>50</v>
      </c>
      <c r="T3" s="9" t="s">
        <v>51</v>
      </c>
      <c r="U3" s="9" t="s">
        <v>52</v>
      </c>
      <c r="V3" s="9" t="s">
        <v>53</v>
      </c>
      <c r="W3" s="12"/>
      <c r="X3" s="12"/>
      <c r="Y3" s="18"/>
      <c r="Z3" s="19" t="s">
        <v>42</v>
      </c>
      <c r="AA3" s="19" t="s">
        <v>43</v>
      </c>
      <c r="AB3" s="19" t="s">
        <v>44</v>
      </c>
      <c r="AC3" s="19" t="s">
        <v>45</v>
      </c>
      <c r="AD3" s="19" t="s">
        <v>46</v>
      </c>
      <c r="AE3" s="19" t="s">
        <v>47</v>
      </c>
      <c r="AF3" s="19" t="s">
        <v>48</v>
      </c>
      <c r="AG3" s="19" t="s">
        <v>49</v>
      </c>
      <c r="AH3" s="19" t="s">
        <v>50</v>
      </c>
      <c r="AI3" s="19" t="s">
        <v>51</v>
      </c>
      <c r="AJ3" s="19" t="s">
        <v>52</v>
      </c>
      <c r="AK3" s="19" t="s">
        <v>53</v>
      </c>
      <c r="AL3" s="18"/>
      <c r="AM3" s="18"/>
    </row>
    <row r="4" spans="2:39" x14ac:dyDescent="0.3">
      <c r="B4" s="13">
        <v>1</v>
      </c>
      <c r="C4" s="14" t="s">
        <v>0</v>
      </c>
      <c r="D4" s="15"/>
      <c r="E4" s="15"/>
      <c r="F4" s="13"/>
      <c r="G4" s="2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</row>
    <row r="5" spans="2:39" ht="43.2" x14ac:dyDescent="0.3">
      <c r="B5" s="10"/>
      <c r="C5" s="11"/>
      <c r="D5" s="11" t="s">
        <v>7</v>
      </c>
      <c r="E5" s="11" t="s">
        <v>1</v>
      </c>
      <c r="F5" s="10"/>
      <c r="G5" s="25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2:39" ht="28.8" x14ac:dyDescent="0.3">
      <c r="B6" s="10"/>
      <c r="C6" s="11"/>
      <c r="D6" s="11"/>
      <c r="E6" s="11" t="s">
        <v>2</v>
      </c>
      <c r="F6" s="10"/>
      <c r="G6" s="25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2:39" ht="28.8" x14ac:dyDescent="0.3">
      <c r="B7" s="10"/>
      <c r="C7" s="11"/>
      <c r="D7" s="11"/>
      <c r="E7" s="11" t="s">
        <v>3</v>
      </c>
      <c r="F7" s="10"/>
      <c r="G7" s="25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2:39" x14ac:dyDescent="0.3">
      <c r="B8" s="10"/>
      <c r="C8" s="11"/>
      <c r="D8" s="11"/>
      <c r="E8" s="11" t="s">
        <v>4</v>
      </c>
      <c r="F8" s="10"/>
      <c r="G8" s="25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 spans="2:39" ht="28.8" x14ac:dyDescent="0.3">
      <c r="B9" s="10"/>
      <c r="C9" s="11"/>
      <c r="D9" s="11"/>
      <c r="E9" s="11" t="s">
        <v>5</v>
      </c>
      <c r="F9" s="10"/>
      <c r="G9" s="25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</row>
    <row r="10" spans="2:39" ht="43.2" x14ac:dyDescent="0.3">
      <c r="B10" s="10"/>
      <c r="C10" s="11"/>
      <c r="D10" s="11"/>
      <c r="E10" s="11" t="s">
        <v>6</v>
      </c>
      <c r="F10" s="10"/>
      <c r="G10" s="25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2:39" ht="28.8" x14ac:dyDescent="0.3">
      <c r="B11" s="10"/>
      <c r="C11" s="11"/>
      <c r="D11" s="11" t="s">
        <v>8</v>
      </c>
      <c r="E11" s="11" t="s">
        <v>61</v>
      </c>
      <c r="F11" s="10"/>
      <c r="G11" s="25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</row>
    <row r="12" spans="2:39" ht="28.8" x14ac:dyDescent="0.3">
      <c r="B12" s="10"/>
      <c r="C12" s="11"/>
      <c r="D12" s="11"/>
      <c r="E12" s="11" t="s">
        <v>62</v>
      </c>
      <c r="F12" s="10"/>
      <c r="G12" s="25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</row>
    <row r="13" spans="2:39" ht="28.8" x14ac:dyDescent="0.3">
      <c r="B13" s="10"/>
      <c r="C13" s="11"/>
      <c r="D13" s="11"/>
      <c r="E13" s="11" t="s">
        <v>63</v>
      </c>
      <c r="F13" s="10"/>
      <c r="G13" s="25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</row>
    <row r="14" spans="2:39" ht="28.8" x14ac:dyDescent="0.3">
      <c r="B14" s="10"/>
      <c r="C14" s="11"/>
      <c r="D14" s="11"/>
      <c r="E14" s="11" t="s">
        <v>64</v>
      </c>
      <c r="F14" s="10"/>
      <c r="G14" s="25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</row>
    <row r="15" spans="2:39" ht="28.8" x14ac:dyDescent="0.3">
      <c r="B15" s="10"/>
      <c r="C15" s="11"/>
      <c r="D15" s="11"/>
      <c r="E15" s="11" t="s">
        <v>65</v>
      </c>
      <c r="F15" s="10"/>
      <c r="G15" s="25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 spans="2:39" ht="43.2" x14ac:dyDescent="0.3">
      <c r="B16" s="10"/>
      <c r="C16" s="11"/>
      <c r="D16" s="11"/>
      <c r="E16" s="11" t="s">
        <v>66</v>
      </c>
      <c r="F16" s="10"/>
      <c r="G16" s="25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</row>
    <row r="17" spans="2:39" ht="28.8" x14ac:dyDescent="0.3">
      <c r="B17" s="10"/>
      <c r="C17" s="11"/>
      <c r="D17" s="11" t="s">
        <v>9</v>
      </c>
      <c r="E17" s="11" t="s">
        <v>67</v>
      </c>
      <c r="F17" s="10"/>
      <c r="G17" s="25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2:39" x14ac:dyDescent="0.3">
      <c r="B18" s="10"/>
      <c r="C18" s="11"/>
      <c r="D18" s="11"/>
      <c r="E18" s="11" t="s">
        <v>68</v>
      </c>
      <c r="F18" s="10"/>
      <c r="G18" s="25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2:39" ht="28.8" x14ac:dyDescent="0.3">
      <c r="B19" s="10"/>
      <c r="C19" s="11"/>
      <c r="D19" s="11" t="s">
        <v>10</v>
      </c>
      <c r="E19" s="11" t="s">
        <v>69</v>
      </c>
      <c r="F19" s="10"/>
      <c r="G19" s="25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 spans="2:39" ht="28.8" x14ac:dyDescent="0.3">
      <c r="B20" s="10"/>
      <c r="C20" s="11"/>
      <c r="D20" s="11"/>
      <c r="E20" s="11" t="s">
        <v>70</v>
      </c>
      <c r="F20" s="10"/>
      <c r="G20" s="25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 spans="2:39" ht="28.8" x14ac:dyDescent="0.3">
      <c r="B21" s="10"/>
      <c r="C21" s="11"/>
      <c r="D21" s="11"/>
      <c r="E21" s="11" t="s">
        <v>71</v>
      </c>
      <c r="F21" s="10"/>
      <c r="G21" s="25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2:39" ht="28.8" x14ac:dyDescent="0.3">
      <c r="B22" s="10"/>
      <c r="C22" s="11"/>
      <c r="D22" s="11"/>
      <c r="E22" s="11" t="s">
        <v>72</v>
      </c>
      <c r="F22" s="10"/>
      <c r="G22" s="25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 spans="2:39" ht="28.8" x14ac:dyDescent="0.3">
      <c r="B23" s="10"/>
      <c r="C23" s="11"/>
      <c r="D23" s="11"/>
      <c r="E23" s="11" t="s">
        <v>73</v>
      </c>
      <c r="F23" s="10"/>
      <c r="G23" s="25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</row>
    <row r="24" spans="2:39" ht="28.8" x14ac:dyDescent="0.3">
      <c r="B24" s="10"/>
      <c r="C24" s="11"/>
      <c r="D24" s="11"/>
      <c r="E24" s="11" t="s">
        <v>74</v>
      </c>
      <c r="F24" s="10"/>
      <c r="G24" s="25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 spans="2:39" ht="28.8" x14ac:dyDescent="0.3">
      <c r="B25" s="10"/>
      <c r="C25" s="11"/>
      <c r="D25" s="11" t="s">
        <v>11</v>
      </c>
      <c r="E25" s="11" t="s">
        <v>75</v>
      </c>
      <c r="F25" s="10"/>
      <c r="G25" s="25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</row>
    <row r="26" spans="2:39" ht="28.8" x14ac:dyDescent="0.3">
      <c r="B26" s="10"/>
      <c r="C26" s="11"/>
      <c r="D26" s="11"/>
      <c r="E26" s="11" t="s">
        <v>76</v>
      </c>
      <c r="F26" s="10"/>
      <c r="G26" s="25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2:39" x14ac:dyDescent="0.3">
      <c r="B27" s="10"/>
      <c r="C27" s="11"/>
      <c r="D27" s="11"/>
      <c r="E27" s="11" t="s">
        <v>77</v>
      </c>
      <c r="F27" s="10"/>
      <c r="G27" s="25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2:39" x14ac:dyDescent="0.3">
      <c r="B28" s="10"/>
      <c r="C28" s="11"/>
      <c r="D28" s="11"/>
      <c r="E28" s="11" t="s">
        <v>78</v>
      </c>
      <c r="F28" s="10"/>
      <c r="G28" s="25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2:39" ht="28.8" x14ac:dyDescent="0.3">
      <c r="B29" s="10"/>
      <c r="C29" s="11"/>
      <c r="D29" s="11"/>
      <c r="E29" s="11" t="s">
        <v>79</v>
      </c>
      <c r="F29" s="10"/>
      <c r="G29" s="25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</row>
    <row r="30" spans="2:39" ht="28.8" x14ac:dyDescent="0.3">
      <c r="B30" s="10"/>
      <c r="C30" s="11"/>
      <c r="D30" s="11"/>
      <c r="E30" s="11" t="s">
        <v>80</v>
      </c>
      <c r="F30" s="10"/>
      <c r="G30" s="25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</row>
    <row r="31" spans="2:39" x14ac:dyDescent="0.3">
      <c r="B31" s="10"/>
      <c r="C31" s="11"/>
      <c r="D31" s="11"/>
      <c r="E31" s="11" t="s">
        <v>81</v>
      </c>
      <c r="F31" s="10"/>
      <c r="G31" s="25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</row>
    <row r="32" spans="2:39" x14ac:dyDescent="0.3">
      <c r="B32" s="10"/>
      <c r="C32" s="11"/>
      <c r="D32" s="11"/>
      <c r="E32" s="11" t="s">
        <v>82</v>
      </c>
      <c r="F32" s="10"/>
      <c r="G32" s="25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</row>
    <row r="33" spans="2:39" ht="28.8" x14ac:dyDescent="0.3">
      <c r="B33" s="10"/>
      <c r="C33" s="11"/>
      <c r="D33" s="11"/>
      <c r="E33" s="11" t="s">
        <v>83</v>
      </c>
      <c r="F33" s="10"/>
      <c r="G33" s="25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</row>
    <row r="34" spans="2:39" ht="43.2" x14ac:dyDescent="0.3">
      <c r="B34" s="10"/>
      <c r="C34" s="11"/>
      <c r="D34" s="11"/>
      <c r="E34" s="11" t="s">
        <v>84</v>
      </c>
      <c r="F34" s="10"/>
      <c r="G34" s="25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</row>
    <row r="35" spans="2:39" ht="43.2" x14ac:dyDescent="0.3">
      <c r="B35" s="10"/>
      <c r="C35" s="11"/>
      <c r="D35" s="11" t="s">
        <v>12</v>
      </c>
      <c r="E35" s="11" t="s">
        <v>85</v>
      </c>
      <c r="F35" s="10"/>
      <c r="G35" s="25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</row>
    <row r="36" spans="2:39" ht="28.8" x14ac:dyDescent="0.3">
      <c r="B36" s="10"/>
      <c r="C36" s="11"/>
      <c r="D36" s="11"/>
      <c r="E36" s="11" t="s">
        <v>86</v>
      </c>
      <c r="F36" s="10"/>
      <c r="G36" s="25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</row>
    <row r="37" spans="2:39" ht="28.8" x14ac:dyDescent="0.3">
      <c r="B37" s="10"/>
      <c r="C37" s="11"/>
      <c r="D37" s="11"/>
      <c r="E37" s="11" t="s">
        <v>87</v>
      </c>
      <c r="F37" s="10"/>
      <c r="G37" s="25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</row>
    <row r="38" spans="2:39" x14ac:dyDescent="0.3">
      <c r="B38" s="10"/>
      <c r="C38" s="11"/>
      <c r="D38" s="11"/>
      <c r="E38" s="11" t="s">
        <v>88</v>
      </c>
      <c r="F38" s="10"/>
      <c r="G38" s="25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</row>
    <row r="39" spans="2:39" x14ac:dyDescent="0.3">
      <c r="B39" s="10"/>
      <c r="C39" s="11"/>
      <c r="D39" s="11"/>
      <c r="E39" s="11" t="s">
        <v>89</v>
      </c>
      <c r="F39" s="10"/>
      <c r="G39" s="25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 spans="2:39" ht="28.8" x14ac:dyDescent="0.3">
      <c r="B40" s="10"/>
      <c r="C40" s="11"/>
      <c r="D40" s="11"/>
      <c r="E40" s="11" t="s">
        <v>90</v>
      </c>
      <c r="F40" s="10"/>
      <c r="G40" s="25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</row>
    <row r="41" spans="2:39" ht="43.2" x14ac:dyDescent="0.3">
      <c r="B41" s="10"/>
      <c r="C41" s="11"/>
      <c r="D41" s="11"/>
      <c r="E41" s="11" t="s">
        <v>91</v>
      </c>
      <c r="F41" s="10"/>
      <c r="G41" s="25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</row>
    <row r="42" spans="2:39" ht="28.8" x14ac:dyDescent="0.3">
      <c r="B42" s="10"/>
      <c r="C42" s="11"/>
      <c r="D42" s="11" t="s">
        <v>13</v>
      </c>
      <c r="E42" s="11" t="s">
        <v>92</v>
      </c>
      <c r="F42" s="10"/>
      <c r="G42" s="25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 spans="2:39" ht="28.8" x14ac:dyDescent="0.3">
      <c r="B43" s="10"/>
      <c r="C43" s="11"/>
      <c r="D43" s="11"/>
      <c r="E43" s="11" t="s">
        <v>93</v>
      </c>
      <c r="F43" s="10"/>
      <c r="G43" s="25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 spans="2:39" x14ac:dyDescent="0.3">
      <c r="B44" s="10"/>
      <c r="C44" s="11"/>
      <c r="D44" s="11"/>
      <c r="E44" s="11" t="s">
        <v>94</v>
      </c>
      <c r="F44" s="10"/>
      <c r="G44" s="25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2:39" ht="57.6" x14ac:dyDescent="0.3">
      <c r="B45" s="10"/>
      <c r="C45" s="11"/>
      <c r="D45" s="11" t="s">
        <v>14</v>
      </c>
      <c r="E45" s="11" t="s">
        <v>95</v>
      </c>
      <c r="F45" s="10"/>
      <c r="G45" s="25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</row>
    <row r="46" spans="2:39" ht="57.6" x14ac:dyDescent="0.3">
      <c r="B46" s="10"/>
      <c r="C46" s="11"/>
      <c r="D46" s="11"/>
      <c r="E46" s="11" t="s">
        <v>96</v>
      </c>
      <c r="F46" s="10"/>
      <c r="G46" s="25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</row>
    <row r="47" spans="2:39" ht="43.2" x14ac:dyDescent="0.3">
      <c r="B47" s="10"/>
      <c r="C47" s="11"/>
      <c r="D47" s="11"/>
      <c r="E47" s="11" t="s">
        <v>97</v>
      </c>
      <c r="F47" s="10"/>
      <c r="G47" s="25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spans="2:39" x14ac:dyDescent="0.3">
      <c r="B48" s="10"/>
      <c r="C48" s="11"/>
      <c r="D48" s="11"/>
      <c r="E48" s="11" t="s">
        <v>98</v>
      </c>
      <c r="F48" s="10"/>
      <c r="G48" s="25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spans="2:39" ht="28.8" x14ac:dyDescent="0.3">
      <c r="B49" s="10"/>
      <c r="C49" s="11"/>
      <c r="D49" s="11"/>
      <c r="E49" s="11" t="s">
        <v>99</v>
      </c>
      <c r="F49" s="10"/>
      <c r="G49" s="25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spans="2:39" x14ac:dyDescent="0.3">
      <c r="B50" s="10"/>
      <c r="C50" s="11"/>
      <c r="D50" s="11"/>
      <c r="E50" s="11" t="s">
        <v>100</v>
      </c>
      <c r="F50" s="10"/>
      <c r="G50" s="25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spans="2:39" ht="28.8" x14ac:dyDescent="0.3">
      <c r="B51" s="10"/>
      <c r="C51" s="11"/>
      <c r="D51" s="11"/>
      <c r="E51" s="11" t="s">
        <v>101</v>
      </c>
      <c r="F51" s="10"/>
      <c r="G51" s="25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spans="2:39" ht="43.2" x14ac:dyDescent="0.3">
      <c r="B52" s="10"/>
      <c r="C52" s="11"/>
      <c r="D52" s="11"/>
      <c r="E52" s="11" t="s">
        <v>102</v>
      </c>
      <c r="F52" s="10"/>
      <c r="G52" s="25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spans="2:39" ht="43.2" x14ac:dyDescent="0.3">
      <c r="B53" s="10"/>
      <c r="C53" s="11"/>
      <c r="D53" s="11"/>
      <c r="E53" s="11" t="s">
        <v>103</v>
      </c>
      <c r="F53" s="10"/>
      <c r="G53" s="25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spans="2:39" ht="28.8" x14ac:dyDescent="0.3">
      <c r="B54" s="10"/>
      <c r="C54" s="11"/>
      <c r="D54" s="11" t="s">
        <v>15</v>
      </c>
      <c r="E54" s="11" t="s">
        <v>104</v>
      </c>
      <c r="F54" s="10"/>
      <c r="G54" s="25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spans="2:39" x14ac:dyDescent="0.3">
      <c r="B55" s="13">
        <v>2</v>
      </c>
      <c r="C55" s="14" t="s">
        <v>16</v>
      </c>
      <c r="D55" s="15"/>
      <c r="E55" s="15"/>
      <c r="F55" s="13"/>
      <c r="G55" s="24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</row>
    <row r="56" spans="2:39" ht="57.6" x14ac:dyDescent="0.3">
      <c r="B56" s="10"/>
      <c r="C56" s="11"/>
      <c r="D56" s="11" t="s">
        <v>17</v>
      </c>
      <c r="E56" s="11" t="s">
        <v>105</v>
      </c>
      <c r="F56" s="10"/>
      <c r="G56" s="25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2:39" x14ac:dyDescent="0.3">
      <c r="B57" s="10"/>
      <c r="C57" s="11"/>
      <c r="D57" s="11"/>
      <c r="E57" s="11" t="s">
        <v>106</v>
      </c>
      <c r="F57" s="10"/>
      <c r="G57" s="25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spans="2:39" ht="28.8" x14ac:dyDescent="0.3">
      <c r="B58" s="10"/>
      <c r="C58" s="11"/>
      <c r="D58" s="11"/>
      <c r="E58" s="11" t="s">
        <v>107</v>
      </c>
      <c r="F58" s="10"/>
      <c r="G58" s="25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spans="2:39" x14ac:dyDescent="0.3">
      <c r="B59" s="10"/>
      <c r="C59" s="11"/>
      <c r="D59" s="11"/>
      <c r="E59" s="11" t="s">
        <v>108</v>
      </c>
      <c r="F59" s="10"/>
      <c r="G59" s="25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spans="2:39" ht="28.8" x14ac:dyDescent="0.3">
      <c r="B60" s="10"/>
      <c r="C60" s="11"/>
      <c r="D60" s="11"/>
      <c r="E60" s="11" t="s">
        <v>109</v>
      </c>
      <c r="F60" s="10"/>
      <c r="G60" s="25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spans="2:39" x14ac:dyDescent="0.3">
      <c r="B61" s="10"/>
      <c r="C61" s="11"/>
      <c r="D61" s="11"/>
      <c r="E61" s="11" t="s">
        <v>110</v>
      </c>
      <c r="F61" s="10"/>
      <c r="G61" s="25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spans="2:39" ht="28.8" x14ac:dyDescent="0.3">
      <c r="B62" s="10"/>
      <c r="C62" s="11"/>
      <c r="D62" s="11"/>
      <c r="E62" s="11" t="s">
        <v>111</v>
      </c>
      <c r="F62" s="10"/>
      <c r="G62" s="25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spans="2:39" ht="28.8" x14ac:dyDescent="0.3">
      <c r="B63" s="10"/>
      <c r="C63" s="11"/>
      <c r="D63" s="11"/>
      <c r="E63" s="11" t="s">
        <v>112</v>
      </c>
      <c r="F63" s="10"/>
      <c r="G63" s="25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spans="2:39" ht="43.2" x14ac:dyDescent="0.3">
      <c r="B64" s="10"/>
      <c r="C64" s="11"/>
      <c r="D64" s="11"/>
      <c r="E64" s="11" t="s">
        <v>113</v>
      </c>
      <c r="F64" s="10"/>
      <c r="G64" s="25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spans="2:39" ht="28.8" x14ac:dyDescent="0.3">
      <c r="B65" s="10"/>
      <c r="C65" s="11"/>
      <c r="D65" s="11"/>
      <c r="E65" s="11" t="s">
        <v>114</v>
      </c>
      <c r="F65" s="10"/>
      <c r="G65" s="25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spans="2:39" ht="43.2" x14ac:dyDescent="0.3">
      <c r="B66" s="10"/>
      <c r="C66" s="11"/>
      <c r="D66" s="11"/>
      <c r="E66" s="11" t="s">
        <v>115</v>
      </c>
      <c r="F66" s="10"/>
      <c r="G66" s="25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spans="2:39" ht="57.6" x14ac:dyDescent="0.3">
      <c r="B67" s="10"/>
      <c r="C67" s="11"/>
      <c r="D67" s="11"/>
      <c r="E67" s="11" t="s">
        <v>116</v>
      </c>
      <c r="F67" s="10"/>
      <c r="G67" s="25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</row>
    <row r="68" spans="2:39" ht="28.8" x14ac:dyDescent="0.3">
      <c r="B68" s="10"/>
      <c r="C68" s="11"/>
      <c r="D68" s="11"/>
      <c r="E68" s="11" t="s">
        <v>117</v>
      </c>
      <c r="F68" s="10"/>
      <c r="G68" s="25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spans="2:39" ht="57.6" x14ac:dyDescent="0.3">
      <c r="B69" s="10"/>
      <c r="C69" s="11"/>
      <c r="D69" s="11"/>
      <c r="E69" s="11" t="s">
        <v>118</v>
      </c>
      <c r="F69" s="10"/>
      <c r="G69" s="25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spans="2:39" ht="57.6" x14ac:dyDescent="0.3">
      <c r="B70" s="10"/>
      <c r="C70" s="11"/>
      <c r="D70" s="11"/>
      <c r="E70" s="11" t="s">
        <v>119</v>
      </c>
      <c r="F70" s="10"/>
      <c r="G70" s="25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spans="2:39" ht="43.2" x14ac:dyDescent="0.3">
      <c r="B71" s="10"/>
      <c r="C71" s="11"/>
      <c r="D71" s="11" t="s">
        <v>20</v>
      </c>
      <c r="E71" s="20" t="s">
        <v>120</v>
      </c>
      <c r="F71" s="11" t="s">
        <v>221</v>
      </c>
      <c r="G71" s="23" t="s">
        <v>220</v>
      </c>
      <c r="H71" s="8" t="s">
        <v>167</v>
      </c>
      <c r="I71" s="8" t="s">
        <v>193</v>
      </c>
      <c r="J71" s="8">
        <v>158</v>
      </c>
      <c r="K71" s="8">
        <v>12</v>
      </c>
      <c r="L71" s="8">
        <v>8</v>
      </c>
      <c r="M71" s="8">
        <v>9</v>
      </c>
      <c r="N71" s="8">
        <v>9</v>
      </c>
      <c r="O71" s="8">
        <v>15</v>
      </c>
      <c r="P71" s="8">
        <v>12</v>
      </c>
      <c r="Q71" s="8">
        <v>6</v>
      </c>
      <c r="R71" s="8"/>
      <c r="S71" s="8"/>
      <c r="T71" s="8"/>
      <c r="U71" s="8"/>
      <c r="V71" s="8"/>
      <c r="W71" s="8">
        <f>SUM(K71:V71)</f>
        <v>71</v>
      </c>
      <c r="X71" s="17">
        <f>W71/J71*100</f>
        <v>44.936708860759495</v>
      </c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spans="2:39" x14ac:dyDescent="0.3">
      <c r="B72" s="10"/>
      <c r="C72" s="11"/>
      <c r="D72" s="11"/>
      <c r="E72" s="20"/>
      <c r="F72" s="10"/>
      <c r="G72" s="25"/>
      <c r="H72" s="10" t="s">
        <v>183</v>
      </c>
      <c r="I72" s="8" t="s">
        <v>194</v>
      </c>
      <c r="J72" s="8">
        <v>214</v>
      </c>
      <c r="K72" s="8">
        <v>20</v>
      </c>
      <c r="L72" s="8">
        <v>19</v>
      </c>
      <c r="M72" s="8">
        <v>22</v>
      </c>
      <c r="N72" s="8">
        <v>22</v>
      </c>
      <c r="O72" s="8">
        <v>21</v>
      </c>
      <c r="P72" s="8">
        <v>17</v>
      </c>
      <c r="Q72" s="8">
        <v>14</v>
      </c>
      <c r="R72" s="8"/>
      <c r="S72" s="8"/>
      <c r="T72" s="8"/>
      <c r="U72" s="8"/>
      <c r="V72" s="8"/>
      <c r="W72" s="8">
        <f t="shared" ref="W72:W96" si="0">SUM(K72:V72)</f>
        <v>135</v>
      </c>
      <c r="X72" s="17">
        <f t="shared" ref="X72:X96" si="1">W72/J72*100</f>
        <v>63.084112149532714</v>
      </c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</row>
    <row r="73" spans="2:39" x14ac:dyDescent="0.3">
      <c r="B73" s="10"/>
      <c r="C73" s="11"/>
      <c r="D73" s="11"/>
      <c r="E73" s="20"/>
      <c r="F73" s="10"/>
      <c r="G73" s="25"/>
      <c r="H73" s="10" t="s">
        <v>184</v>
      </c>
      <c r="I73" s="8" t="s">
        <v>195</v>
      </c>
      <c r="J73" s="8">
        <v>111</v>
      </c>
      <c r="K73" s="8">
        <v>9</v>
      </c>
      <c r="L73" s="8">
        <v>8</v>
      </c>
      <c r="M73" s="8">
        <v>3</v>
      </c>
      <c r="N73" s="8">
        <v>10</v>
      </c>
      <c r="O73" s="8">
        <v>14</v>
      </c>
      <c r="P73" s="8">
        <v>11</v>
      </c>
      <c r="Q73" s="8">
        <v>13</v>
      </c>
      <c r="R73" s="8"/>
      <c r="S73" s="8"/>
      <c r="T73" s="8"/>
      <c r="U73" s="8"/>
      <c r="V73" s="8"/>
      <c r="W73" s="8">
        <f t="shared" si="0"/>
        <v>68</v>
      </c>
      <c r="X73" s="17">
        <f t="shared" si="1"/>
        <v>61.261261261261254</v>
      </c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spans="2:39" x14ac:dyDescent="0.3">
      <c r="B74" s="10"/>
      <c r="C74" s="11"/>
      <c r="D74" s="11"/>
      <c r="E74" s="20"/>
      <c r="F74" s="10"/>
      <c r="G74" s="25"/>
      <c r="H74" s="10" t="s">
        <v>185</v>
      </c>
      <c r="I74" s="8" t="s">
        <v>196</v>
      </c>
      <c r="J74" s="8">
        <v>231</v>
      </c>
      <c r="K74" s="8">
        <v>10</v>
      </c>
      <c r="L74" s="8">
        <v>10</v>
      </c>
      <c r="M74" s="8">
        <v>12</v>
      </c>
      <c r="N74" s="8">
        <v>19</v>
      </c>
      <c r="O74" s="8">
        <v>10</v>
      </c>
      <c r="P74" s="8">
        <v>7</v>
      </c>
      <c r="Q74" s="8">
        <v>4</v>
      </c>
      <c r="R74" s="8"/>
      <c r="S74" s="8"/>
      <c r="T74" s="8"/>
      <c r="U74" s="8"/>
      <c r="V74" s="8"/>
      <c r="W74" s="8">
        <f t="shared" si="0"/>
        <v>72</v>
      </c>
      <c r="X74" s="17">
        <f t="shared" si="1"/>
        <v>31.168831168831169</v>
      </c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spans="2:39" x14ac:dyDescent="0.3">
      <c r="B75" s="10"/>
      <c r="C75" s="11"/>
      <c r="D75" s="11"/>
      <c r="E75" s="20"/>
      <c r="F75" s="10"/>
      <c r="G75" s="25"/>
      <c r="H75" s="10" t="s">
        <v>168</v>
      </c>
      <c r="I75" s="8" t="s">
        <v>197</v>
      </c>
      <c r="J75" s="8">
        <v>146</v>
      </c>
      <c r="K75" s="8">
        <v>9</v>
      </c>
      <c r="L75" s="8">
        <v>13</v>
      </c>
      <c r="M75" s="8">
        <v>11</v>
      </c>
      <c r="N75" s="8">
        <v>10</v>
      </c>
      <c r="O75" s="8">
        <v>6</v>
      </c>
      <c r="P75" s="8">
        <v>3</v>
      </c>
      <c r="Q75" s="8">
        <v>6</v>
      </c>
      <c r="R75" s="8"/>
      <c r="S75" s="8"/>
      <c r="T75" s="8"/>
      <c r="U75" s="8"/>
      <c r="V75" s="8"/>
      <c r="W75" s="8">
        <f t="shared" si="0"/>
        <v>58</v>
      </c>
      <c r="X75" s="17">
        <f t="shared" si="1"/>
        <v>39.726027397260275</v>
      </c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spans="2:39" x14ac:dyDescent="0.3">
      <c r="B76" s="10"/>
      <c r="C76" s="11"/>
      <c r="D76" s="11"/>
      <c r="E76" s="20"/>
      <c r="F76" s="10"/>
      <c r="G76" s="25"/>
      <c r="H76" s="10" t="s">
        <v>169</v>
      </c>
      <c r="I76" s="8" t="s">
        <v>198</v>
      </c>
      <c r="J76" s="8">
        <v>108</v>
      </c>
      <c r="K76" s="8">
        <v>4</v>
      </c>
      <c r="L76" s="8">
        <v>4</v>
      </c>
      <c r="M76" s="8">
        <v>6</v>
      </c>
      <c r="N76" s="8">
        <v>4</v>
      </c>
      <c r="O76" s="8">
        <v>4</v>
      </c>
      <c r="P76" s="8">
        <v>12</v>
      </c>
      <c r="Q76" s="8">
        <v>1</v>
      </c>
      <c r="R76" s="8"/>
      <c r="S76" s="8"/>
      <c r="T76" s="8"/>
      <c r="U76" s="8"/>
      <c r="V76" s="8"/>
      <c r="W76" s="8">
        <f t="shared" si="0"/>
        <v>35</v>
      </c>
      <c r="X76" s="17">
        <f t="shared" si="1"/>
        <v>32.407407407407405</v>
      </c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spans="2:39" x14ac:dyDescent="0.3">
      <c r="B77" s="10"/>
      <c r="C77" s="11"/>
      <c r="D77" s="11"/>
      <c r="E77" s="20"/>
      <c r="F77" s="10"/>
      <c r="G77" s="25"/>
      <c r="H77" s="10" t="s">
        <v>170</v>
      </c>
      <c r="I77" s="8" t="s">
        <v>199</v>
      </c>
      <c r="J77" s="8">
        <v>156</v>
      </c>
      <c r="K77" s="8">
        <v>4</v>
      </c>
      <c r="L77" s="8">
        <v>6</v>
      </c>
      <c r="M77" s="8">
        <v>9</v>
      </c>
      <c r="N77" s="8">
        <v>10</v>
      </c>
      <c r="O77" s="8">
        <v>8</v>
      </c>
      <c r="P77" s="8">
        <v>11</v>
      </c>
      <c r="Q77" s="8">
        <v>4</v>
      </c>
      <c r="R77" s="8"/>
      <c r="S77" s="8"/>
      <c r="T77" s="8"/>
      <c r="U77" s="8"/>
      <c r="V77" s="8"/>
      <c r="W77" s="8">
        <f t="shared" si="0"/>
        <v>52</v>
      </c>
      <c r="X77" s="17">
        <f t="shared" si="1"/>
        <v>33.333333333333329</v>
      </c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spans="2:39" x14ac:dyDescent="0.3">
      <c r="B78" s="10"/>
      <c r="C78" s="11"/>
      <c r="D78" s="11"/>
      <c r="E78" s="20"/>
      <c r="F78" s="10"/>
      <c r="G78" s="25"/>
      <c r="H78" s="10" t="s">
        <v>186</v>
      </c>
      <c r="I78" s="8" t="s">
        <v>200</v>
      </c>
      <c r="J78" s="8">
        <v>133</v>
      </c>
      <c r="K78" s="8">
        <v>12</v>
      </c>
      <c r="L78" s="8">
        <v>14</v>
      </c>
      <c r="M78" s="8">
        <v>14</v>
      </c>
      <c r="N78" s="8">
        <v>14</v>
      </c>
      <c r="O78" s="8">
        <v>13</v>
      </c>
      <c r="P78" s="8">
        <v>5</v>
      </c>
      <c r="Q78" s="8">
        <v>8</v>
      </c>
      <c r="R78" s="8"/>
      <c r="S78" s="8"/>
      <c r="T78" s="8"/>
      <c r="U78" s="8"/>
      <c r="V78" s="8"/>
      <c r="W78" s="8">
        <f t="shared" si="0"/>
        <v>80</v>
      </c>
      <c r="X78" s="17">
        <f t="shared" si="1"/>
        <v>60.150375939849624</v>
      </c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</row>
    <row r="79" spans="2:39" x14ac:dyDescent="0.3">
      <c r="B79" s="10"/>
      <c r="C79" s="11"/>
      <c r="D79" s="11"/>
      <c r="E79" s="20"/>
      <c r="F79" s="10"/>
      <c r="G79" s="25"/>
      <c r="H79" s="10" t="s">
        <v>171</v>
      </c>
      <c r="I79" s="8" t="s">
        <v>201</v>
      </c>
      <c r="J79" s="8">
        <v>203</v>
      </c>
      <c r="K79" s="8">
        <v>7</v>
      </c>
      <c r="L79" s="8">
        <v>3</v>
      </c>
      <c r="M79" s="8">
        <v>10</v>
      </c>
      <c r="N79" s="8">
        <v>15</v>
      </c>
      <c r="O79" s="8">
        <v>6</v>
      </c>
      <c r="P79" s="8">
        <v>8</v>
      </c>
      <c r="Q79" s="8">
        <v>12</v>
      </c>
      <c r="R79" s="8"/>
      <c r="S79" s="8"/>
      <c r="T79" s="8"/>
      <c r="U79" s="8"/>
      <c r="V79" s="8"/>
      <c r="W79" s="8">
        <f t="shared" si="0"/>
        <v>61</v>
      </c>
      <c r="X79" s="17">
        <f t="shared" si="1"/>
        <v>30.049261083743843</v>
      </c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spans="2:39" x14ac:dyDescent="0.3">
      <c r="B80" s="10"/>
      <c r="C80" s="11"/>
      <c r="D80" s="11"/>
      <c r="E80" s="20"/>
      <c r="F80" s="10"/>
      <c r="G80" s="25"/>
      <c r="H80" s="10" t="s">
        <v>172</v>
      </c>
      <c r="I80" s="8" t="s">
        <v>202</v>
      </c>
      <c r="J80" s="8">
        <v>342</v>
      </c>
      <c r="K80" s="8">
        <v>14</v>
      </c>
      <c r="L80" s="8">
        <v>21</v>
      </c>
      <c r="M80" s="8">
        <v>25</v>
      </c>
      <c r="N80" s="8">
        <v>23</v>
      </c>
      <c r="O80" s="8">
        <v>16</v>
      </c>
      <c r="P80" s="8">
        <v>22</v>
      </c>
      <c r="Q80" s="8">
        <v>18</v>
      </c>
      <c r="R80" s="8"/>
      <c r="S80" s="8"/>
      <c r="T80" s="8"/>
      <c r="U80" s="8"/>
      <c r="V80" s="8"/>
      <c r="W80" s="8">
        <f t="shared" si="0"/>
        <v>139</v>
      </c>
      <c r="X80" s="17">
        <f t="shared" si="1"/>
        <v>40.643274853801174</v>
      </c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spans="2:39" x14ac:dyDescent="0.3">
      <c r="B81" s="10"/>
      <c r="C81" s="11"/>
      <c r="D81" s="11"/>
      <c r="E81" s="20"/>
      <c r="F81" s="10"/>
      <c r="G81" s="25"/>
      <c r="H81" s="10" t="s">
        <v>173</v>
      </c>
      <c r="I81" s="8" t="s">
        <v>203</v>
      </c>
      <c r="J81" s="8">
        <v>133</v>
      </c>
      <c r="K81" s="8">
        <v>8</v>
      </c>
      <c r="L81" s="8">
        <v>8</v>
      </c>
      <c r="M81" s="8">
        <v>2</v>
      </c>
      <c r="N81" s="8">
        <v>3</v>
      </c>
      <c r="O81" s="8">
        <v>7</v>
      </c>
      <c r="P81" s="8">
        <v>5</v>
      </c>
      <c r="Q81" s="8">
        <v>4</v>
      </c>
      <c r="R81" s="8"/>
      <c r="S81" s="8"/>
      <c r="T81" s="8"/>
      <c r="U81" s="8"/>
      <c r="V81" s="8"/>
      <c r="W81" s="8">
        <f t="shared" si="0"/>
        <v>37</v>
      </c>
      <c r="X81" s="17">
        <f t="shared" si="1"/>
        <v>27.819548872180448</v>
      </c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spans="2:39" x14ac:dyDescent="0.3">
      <c r="B82" s="10"/>
      <c r="C82" s="11"/>
      <c r="D82" s="11"/>
      <c r="E82" s="20"/>
      <c r="F82" s="10"/>
      <c r="G82" s="25"/>
      <c r="H82" s="10" t="s">
        <v>187</v>
      </c>
      <c r="I82" s="8" t="s">
        <v>204</v>
      </c>
      <c r="J82" s="8">
        <v>150</v>
      </c>
      <c r="K82" s="8">
        <v>13</v>
      </c>
      <c r="L82" s="8">
        <v>9</v>
      </c>
      <c r="M82" s="8">
        <v>9</v>
      </c>
      <c r="N82" s="8">
        <v>9</v>
      </c>
      <c r="O82" s="8">
        <v>6</v>
      </c>
      <c r="P82" s="8">
        <v>7</v>
      </c>
      <c r="Q82" s="8">
        <v>8</v>
      </c>
      <c r="R82" s="8"/>
      <c r="S82" s="8"/>
      <c r="T82" s="8"/>
      <c r="U82" s="8"/>
      <c r="V82" s="8"/>
      <c r="W82" s="8">
        <f t="shared" si="0"/>
        <v>61</v>
      </c>
      <c r="X82" s="17">
        <f t="shared" si="1"/>
        <v>40.666666666666664</v>
      </c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spans="2:39" x14ac:dyDescent="0.3">
      <c r="B83" s="10"/>
      <c r="C83" s="11"/>
      <c r="D83" s="11"/>
      <c r="E83" s="20"/>
      <c r="F83" s="10"/>
      <c r="G83" s="25"/>
      <c r="H83" s="10" t="s">
        <v>188</v>
      </c>
      <c r="I83" s="8" t="s">
        <v>205</v>
      </c>
      <c r="J83" s="8">
        <v>183</v>
      </c>
      <c r="K83" s="8">
        <v>3</v>
      </c>
      <c r="L83" s="8">
        <v>2</v>
      </c>
      <c r="M83" s="8">
        <v>6</v>
      </c>
      <c r="N83" s="8">
        <v>6</v>
      </c>
      <c r="O83" s="8">
        <v>3</v>
      </c>
      <c r="P83" s="8">
        <v>3</v>
      </c>
      <c r="Q83" s="8">
        <v>9</v>
      </c>
      <c r="R83" s="8"/>
      <c r="S83" s="8"/>
      <c r="T83" s="8"/>
      <c r="U83" s="8"/>
      <c r="V83" s="8"/>
      <c r="W83" s="8">
        <f t="shared" si="0"/>
        <v>32</v>
      </c>
      <c r="X83" s="17">
        <f t="shared" si="1"/>
        <v>17.486338797814209</v>
      </c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spans="2:39" x14ac:dyDescent="0.3">
      <c r="B84" s="10"/>
      <c r="C84" s="11"/>
      <c r="D84" s="11"/>
      <c r="E84" s="20"/>
      <c r="F84" s="10"/>
      <c r="G84" s="25"/>
      <c r="H84" s="10" t="s">
        <v>174</v>
      </c>
      <c r="I84" s="8" t="s">
        <v>206</v>
      </c>
      <c r="J84" s="8">
        <v>100</v>
      </c>
      <c r="K84" s="8">
        <v>7</v>
      </c>
      <c r="L84" s="8">
        <v>8</v>
      </c>
      <c r="M84" s="8">
        <v>5</v>
      </c>
      <c r="N84" s="8">
        <v>3</v>
      </c>
      <c r="O84" s="8">
        <v>6</v>
      </c>
      <c r="P84" s="8">
        <v>3</v>
      </c>
      <c r="Q84" s="8">
        <v>2</v>
      </c>
      <c r="R84" s="8"/>
      <c r="S84" s="8"/>
      <c r="T84" s="8"/>
      <c r="U84" s="8"/>
      <c r="V84" s="8"/>
      <c r="W84" s="8">
        <f t="shared" si="0"/>
        <v>34</v>
      </c>
      <c r="X84" s="17">
        <f t="shared" si="1"/>
        <v>34</v>
      </c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spans="2:39" x14ac:dyDescent="0.3">
      <c r="B85" s="10"/>
      <c r="C85" s="11"/>
      <c r="D85" s="11"/>
      <c r="E85" s="20"/>
      <c r="F85" s="10"/>
      <c r="G85" s="25"/>
      <c r="H85" s="10" t="s">
        <v>174</v>
      </c>
      <c r="I85" s="8" t="s">
        <v>217</v>
      </c>
      <c r="J85" s="8">
        <v>72</v>
      </c>
      <c r="K85" s="8">
        <v>1</v>
      </c>
      <c r="L85" s="8">
        <v>1</v>
      </c>
      <c r="M85" s="8">
        <v>10</v>
      </c>
      <c r="N85" s="8">
        <v>5</v>
      </c>
      <c r="O85" s="8">
        <v>0</v>
      </c>
      <c r="P85" s="8">
        <v>1</v>
      </c>
      <c r="Q85" s="8">
        <v>1</v>
      </c>
      <c r="R85" s="8"/>
      <c r="S85" s="8"/>
      <c r="T85" s="8"/>
      <c r="U85" s="8"/>
      <c r="V85" s="8"/>
      <c r="W85" s="8">
        <f t="shared" ref="W85" si="2">SUM(K85:V85)</f>
        <v>19</v>
      </c>
      <c r="X85" s="17">
        <f t="shared" ref="X85" si="3">W85/J85*100</f>
        <v>26.388888888888889</v>
      </c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</row>
    <row r="86" spans="2:39" x14ac:dyDescent="0.3">
      <c r="B86" s="10"/>
      <c r="C86" s="11"/>
      <c r="D86" s="11"/>
      <c r="E86" s="20"/>
      <c r="F86" s="10"/>
      <c r="G86" s="25"/>
      <c r="H86" s="10" t="s">
        <v>175</v>
      </c>
      <c r="I86" s="8" t="s">
        <v>207</v>
      </c>
      <c r="J86" s="8">
        <v>232</v>
      </c>
      <c r="K86" s="8">
        <v>12</v>
      </c>
      <c r="L86" s="8">
        <v>20</v>
      </c>
      <c r="M86" s="8">
        <v>12</v>
      </c>
      <c r="N86" s="8">
        <v>9</v>
      </c>
      <c r="O86" s="8">
        <v>15</v>
      </c>
      <c r="P86" s="8">
        <v>22</v>
      </c>
      <c r="Q86" s="8">
        <v>20</v>
      </c>
      <c r="R86" s="8"/>
      <c r="S86" s="8"/>
      <c r="T86" s="8"/>
      <c r="U86" s="8"/>
      <c r="V86" s="8"/>
      <c r="W86" s="8">
        <f t="shared" si="0"/>
        <v>110</v>
      </c>
      <c r="X86" s="17">
        <f t="shared" si="1"/>
        <v>47.413793103448278</v>
      </c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spans="2:39" x14ac:dyDescent="0.3">
      <c r="B87" s="10"/>
      <c r="C87" s="11"/>
      <c r="D87" s="11"/>
      <c r="E87" s="20"/>
      <c r="F87" s="10"/>
      <c r="G87" s="25"/>
      <c r="H87" s="10" t="s">
        <v>189</v>
      </c>
      <c r="I87" s="8" t="s">
        <v>208</v>
      </c>
      <c r="J87" s="8">
        <v>275</v>
      </c>
      <c r="K87" s="8">
        <v>19</v>
      </c>
      <c r="L87" s="8">
        <v>14</v>
      </c>
      <c r="M87" s="8">
        <v>14</v>
      </c>
      <c r="N87" s="8">
        <v>20</v>
      </c>
      <c r="O87" s="8">
        <v>16</v>
      </c>
      <c r="P87" s="8">
        <v>10</v>
      </c>
      <c r="Q87" s="8">
        <v>13</v>
      </c>
      <c r="R87" s="8"/>
      <c r="S87" s="8"/>
      <c r="T87" s="8"/>
      <c r="U87" s="8"/>
      <c r="V87" s="8"/>
      <c r="W87" s="8">
        <f t="shared" si="0"/>
        <v>106</v>
      </c>
      <c r="X87" s="17">
        <f t="shared" si="1"/>
        <v>38.545454545454547</v>
      </c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spans="2:39" x14ac:dyDescent="0.3">
      <c r="B88" s="10"/>
      <c r="C88" s="11"/>
      <c r="D88" s="11"/>
      <c r="E88" s="20"/>
      <c r="F88" s="10"/>
      <c r="G88" s="25"/>
      <c r="H88" s="10" t="s">
        <v>176</v>
      </c>
      <c r="I88" s="8" t="s">
        <v>209</v>
      </c>
      <c r="J88" s="8">
        <v>210</v>
      </c>
      <c r="K88" s="8">
        <v>6</v>
      </c>
      <c r="L88" s="8">
        <v>11</v>
      </c>
      <c r="M88" s="8">
        <v>11</v>
      </c>
      <c r="N88" s="8">
        <v>11</v>
      </c>
      <c r="O88" s="8">
        <v>6</v>
      </c>
      <c r="P88" s="8">
        <v>10</v>
      </c>
      <c r="Q88" s="8">
        <v>8</v>
      </c>
      <c r="R88" s="8"/>
      <c r="S88" s="8"/>
      <c r="T88" s="8"/>
      <c r="U88" s="8"/>
      <c r="V88" s="8"/>
      <c r="W88" s="8">
        <f t="shared" si="0"/>
        <v>63</v>
      </c>
      <c r="X88" s="17">
        <f t="shared" si="1"/>
        <v>30</v>
      </c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spans="2:39" x14ac:dyDescent="0.3">
      <c r="B89" s="10"/>
      <c r="C89" s="11"/>
      <c r="D89" s="11"/>
      <c r="E89" s="20"/>
      <c r="F89" s="10"/>
      <c r="G89" s="25"/>
      <c r="H89" s="10" t="s">
        <v>177</v>
      </c>
      <c r="I89" s="8" t="s">
        <v>210</v>
      </c>
      <c r="J89" s="8">
        <v>245</v>
      </c>
      <c r="K89" s="8">
        <v>12</v>
      </c>
      <c r="L89" s="8">
        <v>4</v>
      </c>
      <c r="M89" s="8">
        <v>9</v>
      </c>
      <c r="N89" s="8">
        <v>15</v>
      </c>
      <c r="O89" s="8">
        <v>12</v>
      </c>
      <c r="P89" s="8">
        <v>10</v>
      </c>
      <c r="Q89" s="8">
        <v>14</v>
      </c>
      <c r="R89" s="8"/>
      <c r="S89" s="8"/>
      <c r="T89" s="8"/>
      <c r="U89" s="8"/>
      <c r="V89" s="8"/>
      <c r="W89" s="8">
        <f t="shared" si="0"/>
        <v>76</v>
      </c>
      <c r="X89" s="17">
        <f t="shared" si="1"/>
        <v>31.020408163265305</v>
      </c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</row>
    <row r="90" spans="2:39" x14ac:dyDescent="0.3">
      <c r="B90" s="10"/>
      <c r="C90" s="11"/>
      <c r="D90" s="11"/>
      <c r="E90" s="20"/>
      <c r="F90" s="10"/>
      <c r="G90" s="25"/>
      <c r="H90" s="10" t="s">
        <v>190</v>
      </c>
      <c r="I90" s="8" t="s">
        <v>211</v>
      </c>
      <c r="J90" s="8">
        <v>147</v>
      </c>
      <c r="K90" s="8">
        <v>7</v>
      </c>
      <c r="L90" s="8">
        <v>7</v>
      </c>
      <c r="M90" s="8">
        <v>11</v>
      </c>
      <c r="N90" s="8">
        <v>7</v>
      </c>
      <c r="O90" s="8">
        <v>5</v>
      </c>
      <c r="P90" s="8">
        <v>7</v>
      </c>
      <c r="Q90" s="8">
        <v>2</v>
      </c>
      <c r="R90" s="8"/>
      <c r="S90" s="8"/>
      <c r="T90" s="8"/>
      <c r="U90" s="8"/>
      <c r="V90" s="8"/>
      <c r="W90" s="8">
        <f t="shared" si="0"/>
        <v>46</v>
      </c>
      <c r="X90" s="17">
        <f t="shared" si="1"/>
        <v>31.292517006802722</v>
      </c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spans="2:39" x14ac:dyDescent="0.3">
      <c r="B91" s="10"/>
      <c r="C91" s="11"/>
      <c r="D91" s="11"/>
      <c r="E91" s="20"/>
      <c r="F91" s="10"/>
      <c r="G91" s="25"/>
      <c r="H91" s="10" t="s">
        <v>191</v>
      </c>
      <c r="I91" s="8" t="s">
        <v>212</v>
      </c>
      <c r="J91" s="8">
        <v>332</v>
      </c>
      <c r="K91" s="8">
        <v>7</v>
      </c>
      <c r="L91" s="8">
        <v>20</v>
      </c>
      <c r="M91" s="8">
        <v>13</v>
      </c>
      <c r="N91" s="8">
        <v>23</v>
      </c>
      <c r="O91" s="8">
        <v>14</v>
      </c>
      <c r="P91" s="8">
        <v>11</v>
      </c>
      <c r="Q91" s="8">
        <v>17</v>
      </c>
      <c r="R91" s="8"/>
      <c r="S91" s="8"/>
      <c r="T91" s="8"/>
      <c r="U91" s="8"/>
      <c r="V91" s="8"/>
      <c r="W91" s="8">
        <f t="shared" si="0"/>
        <v>105</v>
      </c>
      <c r="X91" s="17">
        <f t="shared" si="1"/>
        <v>31.626506024096386</v>
      </c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spans="2:39" x14ac:dyDescent="0.3">
      <c r="B92" s="10"/>
      <c r="C92" s="11"/>
      <c r="D92" s="11"/>
      <c r="E92" s="20"/>
      <c r="F92" s="10"/>
      <c r="G92" s="25"/>
      <c r="H92" s="10" t="s">
        <v>178</v>
      </c>
      <c r="I92" s="8" t="s">
        <v>213</v>
      </c>
      <c r="J92" s="8">
        <v>353</v>
      </c>
      <c r="K92" s="8">
        <v>12</v>
      </c>
      <c r="L92" s="8">
        <v>14</v>
      </c>
      <c r="M92" s="8">
        <v>12</v>
      </c>
      <c r="N92" s="8">
        <v>14</v>
      </c>
      <c r="O92" s="8">
        <v>17</v>
      </c>
      <c r="P92" s="8">
        <v>18</v>
      </c>
      <c r="Q92" s="8">
        <v>9</v>
      </c>
      <c r="R92" s="8"/>
      <c r="S92" s="8"/>
      <c r="T92" s="8"/>
      <c r="U92" s="8"/>
      <c r="V92" s="8"/>
      <c r="W92" s="8">
        <f t="shared" si="0"/>
        <v>96</v>
      </c>
      <c r="X92" s="17">
        <f t="shared" si="1"/>
        <v>27.195467422096321</v>
      </c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spans="2:39" x14ac:dyDescent="0.3">
      <c r="B93" s="10"/>
      <c r="C93" s="11"/>
      <c r="D93" s="11"/>
      <c r="E93" s="20"/>
      <c r="F93" s="10"/>
      <c r="G93" s="25"/>
      <c r="H93" s="10" t="s">
        <v>179</v>
      </c>
      <c r="I93" s="8" t="s">
        <v>214</v>
      </c>
      <c r="J93" s="8">
        <v>112</v>
      </c>
      <c r="K93" s="8">
        <v>7</v>
      </c>
      <c r="L93" s="8">
        <v>2</v>
      </c>
      <c r="M93" s="8">
        <v>6</v>
      </c>
      <c r="N93" s="8">
        <v>6</v>
      </c>
      <c r="O93" s="8">
        <v>5</v>
      </c>
      <c r="P93" s="8">
        <v>5</v>
      </c>
      <c r="Q93" s="8">
        <v>2</v>
      </c>
      <c r="R93" s="8"/>
      <c r="S93" s="8"/>
      <c r="T93" s="8"/>
      <c r="U93" s="8"/>
      <c r="V93" s="8"/>
      <c r="W93" s="8">
        <f t="shared" si="0"/>
        <v>33</v>
      </c>
      <c r="X93" s="17">
        <f t="shared" si="1"/>
        <v>29.464285714285715</v>
      </c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spans="2:39" x14ac:dyDescent="0.3">
      <c r="B94" s="10"/>
      <c r="C94" s="11"/>
      <c r="D94" s="11"/>
      <c r="E94" s="20"/>
      <c r="F94" s="10"/>
      <c r="G94" s="25"/>
      <c r="H94" s="10" t="s">
        <v>180</v>
      </c>
      <c r="I94" s="8" t="s">
        <v>215</v>
      </c>
      <c r="J94" s="8">
        <v>372</v>
      </c>
      <c r="K94" s="8">
        <v>28</v>
      </c>
      <c r="L94" s="8">
        <v>23</v>
      </c>
      <c r="M94" s="8">
        <v>20</v>
      </c>
      <c r="N94" s="8">
        <v>30</v>
      </c>
      <c r="O94" s="8">
        <v>28</v>
      </c>
      <c r="P94" s="8">
        <v>34</v>
      </c>
      <c r="Q94" s="8">
        <v>20</v>
      </c>
      <c r="R94" s="8"/>
      <c r="S94" s="8"/>
      <c r="T94" s="8"/>
      <c r="U94" s="8"/>
      <c r="V94" s="8"/>
      <c r="W94" s="8">
        <f t="shared" si="0"/>
        <v>183</v>
      </c>
      <c r="X94" s="17">
        <f t="shared" si="1"/>
        <v>49.193548387096776</v>
      </c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spans="2:39" x14ac:dyDescent="0.3">
      <c r="B95" s="10"/>
      <c r="C95" s="11"/>
      <c r="D95" s="11"/>
      <c r="E95" s="20"/>
      <c r="F95" s="10"/>
      <c r="G95" s="25"/>
      <c r="H95" s="10" t="s">
        <v>192</v>
      </c>
      <c r="I95" s="8" t="s">
        <v>216</v>
      </c>
      <c r="J95" s="8">
        <v>81</v>
      </c>
      <c r="K95" s="8">
        <v>1</v>
      </c>
      <c r="L95" s="8">
        <v>5</v>
      </c>
      <c r="M95" s="8">
        <v>5</v>
      </c>
      <c r="N95" s="8">
        <v>9</v>
      </c>
      <c r="O95" s="8">
        <v>2</v>
      </c>
      <c r="P95" s="8">
        <v>7</v>
      </c>
      <c r="Q95" s="8">
        <v>6</v>
      </c>
      <c r="R95" s="8"/>
      <c r="S95" s="8"/>
      <c r="T95" s="8"/>
      <c r="U95" s="8"/>
      <c r="V95" s="8"/>
      <c r="W95" s="8">
        <f t="shared" si="0"/>
        <v>35</v>
      </c>
      <c r="X95" s="17">
        <f t="shared" si="1"/>
        <v>43.209876543209873</v>
      </c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spans="2:39" x14ac:dyDescent="0.3">
      <c r="B96" s="10"/>
      <c r="C96" s="11"/>
      <c r="D96" s="11"/>
      <c r="E96" s="20"/>
      <c r="F96" s="10"/>
      <c r="G96" s="25"/>
      <c r="H96" s="10" t="s">
        <v>181</v>
      </c>
      <c r="I96" s="8" t="s">
        <v>218</v>
      </c>
      <c r="J96" s="8">
        <v>101</v>
      </c>
      <c r="K96" s="8">
        <v>5</v>
      </c>
      <c r="L96" s="8">
        <v>4</v>
      </c>
      <c r="M96" s="8">
        <v>8</v>
      </c>
      <c r="N96" s="8">
        <v>4</v>
      </c>
      <c r="O96" s="8">
        <v>1</v>
      </c>
      <c r="P96" s="8">
        <v>10</v>
      </c>
      <c r="Q96" s="8">
        <v>5</v>
      </c>
      <c r="R96" s="8"/>
      <c r="S96" s="8"/>
      <c r="T96" s="8"/>
      <c r="U96" s="8"/>
      <c r="V96" s="8"/>
      <c r="W96" s="8">
        <f t="shared" si="0"/>
        <v>37</v>
      </c>
      <c r="X96" s="17">
        <f t="shared" si="1"/>
        <v>36.633663366336634</v>
      </c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spans="2:39" ht="28.8" x14ac:dyDescent="0.3">
      <c r="B97" s="10"/>
      <c r="C97" s="11"/>
      <c r="D97" s="11"/>
      <c r="E97" s="20" t="s">
        <v>121</v>
      </c>
      <c r="F97" s="11" t="s">
        <v>222</v>
      </c>
      <c r="G97" s="23" t="s">
        <v>220</v>
      </c>
      <c r="H97" s="8" t="s">
        <v>167</v>
      </c>
      <c r="I97" s="8" t="s">
        <v>193</v>
      </c>
      <c r="J97" s="10">
        <v>158</v>
      </c>
      <c r="K97" s="10">
        <v>19</v>
      </c>
      <c r="L97" s="10">
        <v>13</v>
      </c>
      <c r="M97" s="10">
        <v>10</v>
      </c>
      <c r="N97" s="10">
        <v>12</v>
      </c>
      <c r="O97" s="10">
        <v>7</v>
      </c>
      <c r="P97" s="10">
        <v>16</v>
      </c>
      <c r="Q97" s="10">
        <v>13</v>
      </c>
      <c r="R97" s="10"/>
      <c r="S97" s="10"/>
      <c r="T97" s="10"/>
      <c r="U97" s="10"/>
      <c r="V97" s="10"/>
      <c r="W97" s="8">
        <f t="shared" ref="W97:W122" si="4">SUM(K97:V97)</f>
        <v>90</v>
      </c>
      <c r="X97" s="17">
        <f t="shared" ref="X97:X122" si="5">W97/J97*100</f>
        <v>56.962025316455701</v>
      </c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spans="2:39" x14ac:dyDescent="0.3">
      <c r="B98" s="10"/>
      <c r="C98" s="11"/>
      <c r="D98" s="11"/>
      <c r="E98" s="20"/>
      <c r="F98" s="10"/>
      <c r="G98" s="25"/>
      <c r="H98" s="10" t="s">
        <v>183</v>
      </c>
      <c r="I98" s="8" t="s">
        <v>194</v>
      </c>
      <c r="J98" s="10">
        <v>214</v>
      </c>
      <c r="K98" s="10">
        <v>20</v>
      </c>
      <c r="L98" s="10">
        <v>19</v>
      </c>
      <c r="M98" s="10">
        <v>22</v>
      </c>
      <c r="N98" s="10">
        <v>15</v>
      </c>
      <c r="O98" s="10">
        <v>21</v>
      </c>
      <c r="P98" s="10">
        <v>12</v>
      </c>
      <c r="Q98" s="10">
        <v>12</v>
      </c>
      <c r="R98" s="10"/>
      <c r="S98" s="10"/>
      <c r="T98" s="10"/>
      <c r="U98" s="10"/>
      <c r="V98" s="10"/>
      <c r="W98" s="8">
        <f t="shared" si="4"/>
        <v>121</v>
      </c>
      <c r="X98" s="17">
        <f t="shared" si="5"/>
        <v>56.542056074766357</v>
      </c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spans="2:39" x14ac:dyDescent="0.3">
      <c r="B99" s="10"/>
      <c r="C99" s="11"/>
      <c r="D99" s="11"/>
      <c r="E99" s="20"/>
      <c r="F99" s="10"/>
      <c r="G99" s="25"/>
      <c r="H99" s="10" t="s">
        <v>184</v>
      </c>
      <c r="I99" s="8" t="s">
        <v>195</v>
      </c>
      <c r="J99" s="10">
        <v>111</v>
      </c>
      <c r="K99" s="10">
        <v>8</v>
      </c>
      <c r="L99" s="10">
        <v>11</v>
      </c>
      <c r="M99" s="10">
        <v>8</v>
      </c>
      <c r="N99" s="10">
        <v>2</v>
      </c>
      <c r="O99" s="10">
        <v>10</v>
      </c>
      <c r="P99" s="10">
        <v>16</v>
      </c>
      <c r="Q99" s="10">
        <v>10</v>
      </c>
      <c r="R99" s="10"/>
      <c r="S99" s="10"/>
      <c r="T99" s="10"/>
      <c r="U99" s="10"/>
      <c r="V99" s="10"/>
      <c r="W99" s="8">
        <f t="shared" si="4"/>
        <v>65</v>
      </c>
      <c r="X99" s="17">
        <f t="shared" si="5"/>
        <v>58.558558558558559</v>
      </c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spans="2:39" x14ac:dyDescent="0.3">
      <c r="B100" s="10"/>
      <c r="C100" s="11"/>
      <c r="D100" s="11"/>
      <c r="E100" s="20"/>
      <c r="F100" s="10"/>
      <c r="G100" s="25"/>
      <c r="H100" s="10" t="s">
        <v>185</v>
      </c>
      <c r="I100" s="8" t="s">
        <v>196</v>
      </c>
      <c r="J100" s="10">
        <v>231</v>
      </c>
      <c r="K100" s="10">
        <v>13</v>
      </c>
      <c r="L100" s="10">
        <v>20</v>
      </c>
      <c r="M100" s="10">
        <v>15</v>
      </c>
      <c r="N100" s="10">
        <v>14</v>
      </c>
      <c r="O100" s="10">
        <v>15</v>
      </c>
      <c r="P100" s="10">
        <v>18</v>
      </c>
      <c r="Q100" s="10">
        <v>14</v>
      </c>
      <c r="R100" s="10"/>
      <c r="S100" s="10"/>
      <c r="T100" s="10"/>
      <c r="U100" s="10"/>
      <c r="V100" s="10"/>
      <c r="W100" s="8">
        <f t="shared" si="4"/>
        <v>109</v>
      </c>
      <c r="X100" s="17">
        <f t="shared" si="5"/>
        <v>47.186147186147188</v>
      </c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spans="2:39" x14ac:dyDescent="0.3">
      <c r="B101" s="10"/>
      <c r="C101" s="11"/>
      <c r="D101" s="11"/>
      <c r="E101" s="20"/>
      <c r="F101" s="10"/>
      <c r="G101" s="25"/>
      <c r="H101" s="10" t="s">
        <v>168</v>
      </c>
      <c r="I101" s="8" t="s">
        <v>197</v>
      </c>
      <c r="J101" s="10">
        <v>146</v>
      </c>
      <c r="K101" s="10">
        <v>11</v>
      </c>
      <c r="L101" s="10">
        <v>12</v>
      </c>
      <c r="M101" s="10">
        <v>9</v>
      </c>
      <c r="N101" s="10">
        <v>13</v>
      </c>
      <c r="O101" s="10">
        <v>11</v>
      </c>
      <c r="P101" s="10">
        <v>10</v>
      </c>
      <c r="Q101" s="10">
        <v>15</v>
      </c>
      <c r="R101" s="10"/>
      <c r="S101" s="10"/>
      <c r="T101" s="10"/>
      <c r="U101" s="10"/>
      <c r="V101" s="10"/>
      <c r="W101" s="8">
        <f t="shared" si="4"/>
        <v>81</v>
      </c>
      <c r="X101" s="17">
        <f t="shared" si="5"/>
        <v>55.479452054794521</v>
      </c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</row>
    <row r="102" spans="2:39" x14ac:dyDescent="0.3">
      <c r="B102" s="10"/>
      <c r="C102" s="11"/>
      <c r="D102" s="11"/>
      <c r="E102" s="20"/>
      <c r="F102" s="10"/>
      <c r="G102" s="25"/>
      <c r="H102" s="10" t="s">
        <v>169</v>
      </c>
      <c r="I102" s="8" t="s">
        <v>198</v>
      </c>
      <c r="J102" s="10">
        <v>108</v>
      </c>
      <c r="K102" s="10">
        <v>14</v>
      </c>
      <c r="L102" s="10">
        <v>5</v>
      </c>
      <c r="M102" s="10">
        <v>13</v>
      </c>
      <c r="N102" s="10">
        <v>7</v>
      </c>
      <c r="O102" s="10">
        <v>10</v>
      </c>
      <c r="P102" s="10">
        <v>6</v>
      </c>
      <c r="Q102" s="10">
        <v>13</v>
      </c>
      <c r="R102" s="10"/>
      <c r="S102" s="10"/>
      <c r="T102" s="10"/>
      <c r="U102" s="10"/>
      <c r="V102" s="10"/>
      <c r="W102" s="8">
        <f t="shared" si="4"/>
        <v>68</v>
      </c>
      <c r="X102" s="17">
        <f t="shared" si="5"/>
        <v>62.962962962962962</v>
      </c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</row>
    <row r="103" spans="2:39" x14ac:dyDescent="0.3">
      <c r="B103" s="10"/>
      <c r="C103" s="11"/>
      <c r="D103" s="11"/>
      <c r="E103" s="20"/>
      <c r="F103" s="10"/>
      <c r="G103" s="25"/>
      <c r="H103" s="10" t="s">
        <v>170</v>
      </c>
      <c r="I103" s="8" t="s">
        <v>199</v>
      </c>
      <c r="J103" s="10">
        <v>156</v>
      </c>
      <c r="K103" s="10">
        <v>11</v>
      </c>
      <c r="L103" s="10">
        <v>11</v>
      </c>
      <c r="M103" s="10">
        <v>15</v>
      </c>
      <c r="N103" s="10">
        <v>21</v>
      </c>
      <c r="O103" s="10">
        <v>18</v>
      </c>
      <c r="P103" s="10">
        <v>10</v>
      </c>
      <c r="Q103" s="10">
        <v>11</v>
      </c>
      <c r="R103" s="10"/>
      <c r="S103" s="10"/>
      <c r="T103" s="10"/>
      <c r="U103" s="10"/>
      <c r="V103" s="10"/>
      <c r="W103" s="8">
        <f t="shared" si="4"/>
        <v>97</v>
      </c>
      <c r="X103" s="17">
        <f t="shared" si="5"/>
        <v>62.179487179487182</v>
      </c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spans="2:39" x14ac:dyDescent="0.3">
      <c r="B104" s="10"/>
      <c r="C104" s="11"/>
      <c r="D104" s="11"/>
      <c r="E104" s="20"/>
      <c r="F104" s="10"/>
      <c r="G104" s="25"/>
      <c r="H104" s="10" t="s">
        <v>186</v>
      </c>
      <c r="I104" s="8" t="s">
        <v>200</v>
      </c>
      <c r="J104" s="10">
        <v>133</v>
      </c>
      <c r="K104" s="10">
        <v>8</v>
      </c>
      <c r="L104" s="10">
        <v>13</v>
      </c>
      <c r="M104" s="10">
        <v>13</v>
      </c>
      <c r="N104" s="10">
        <v>14</v>
      </c>
      <c r="O104" s="10">
        <v>18</v>
      </c>
      <c r="P104" s="10">
        <v>14</v>
      </c>
      <c r="Q104" s="10">
        <v>10</v>
      </c>
      <c r="R104" s="10"/>
      <c r="S104" s="10"/>
      <c r="T104" s="10"/>
      <c r="U104" s="10"/>
      <c r="V104" s="10"/>
      <c r="W104" s="8">
        <f t="shared" si="4"/>
        <v>90</v>
      </c>
      <c r="X104" s="17">
        <f t="shared" si="5"/>
        <v>67.669172932330824</v>
      </c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</row>
    <row r="105" spans="2:39" x14ac:dyDescent="0.3">
      <c r="B105" s="10"/>
      <c r="C105" s="11"/>
      <c r="D105" s="11"/>
      <c r="E105" s="20"/>
      <c r="F105" s="10"/>
      <c r="G105" s="25"/>
      <c r="H105" s="10" t="s">
        <v>171</v>
      </c>
      <c r="I105" s="8" t="s">
        <v>201</v>
      </c>
      <c r="J105" s="10">
        <v>203</v>
      </c>
      <c r="K105" s="10">
        <v>17</v>
      </c>
      <c r="L105" s="10">
        <v>19</v>
      </c>
      <c r="M105" s="10">
        <v>8</v>
      </c>
      <c r="N105" s="10">
        <v>17</v>
      </c>
      <c r="O105" s="10">
        <v>19</v>
      </c>
      <c r="P105" s="10">
        <v>15</v>
      </c>
      <c r="Q105" s="10">
        <v>17</v>
      </c>
      <c r="R105" s="10"/>
      <c r="S105" s="10"/>
      <c r="T105" s="10"/>
      <c r="U105" s="10"/>
      <c r="V105" s="10"/>
      <c r="W105" s="8">
        <f t="shared" si="4"/>
        <v>112</v>
      </c>
      <c r="X105" s="17">
        <f t="shared" si="5"/>
        <v>55.172413793103445</v>
      </c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</row>
    <row r="106" spans="2:39" x14ac:dyDescent="0.3">
      <c r="B106" s="10"/>
      <c r="C106" s="11"/>
      <c r="D106" s="11"/>
      <c r="E106" s="20"/>
      <c r="F106" s="10"/>
      <c r="G106" s="25"/>
      <c r="H106" s="10" t="s">
        <v>172</v>
      </c>
      <c r="I106" s="8" t="s">
        <v>202</v>
      </c>
      <c r="J106" s="10">
        <v>342</v>
      </c>
      <c r="K106" s="10">
        <v>33</v>
      </c>
      <c r="L106" s="10">
        <v>21</v>
      </c>
      <c r="M106" s="10">
        <v>32</v>
      </c>
      <c r="N106" s="10">
        <v>35</v>
      </c>
      <c r="O106" s="10">
        <v>29</v>
      </c>
      <c r="P106" s="10">
        <v>32</v>
      </c>
      <c r="Q106" s="10">
        <v>23</v>
      </c>
      <c r="R106" s="10"/>
      <c r="S106" s="10"/>
      <c r="T106" s="10"/>
      <c r="U106" s="10"/>
      <c r="V106" s="10"/>
      <c r="W106" s="8">
        <f t="shared" si="4"/>
        <v>205</v>
      </c>
      <c r="X106" s="17">
        <f t="shared" si="5"/>
        <v>59.941520467836263</v>
      </c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</row>
    <row r="107" spans="2:39" x14ac:dyDescent="0.3">
      <c r="B107" s="10"/>
      <c r="C107" s="11"/>
      <c r="D107" s="11"/>
      <c r="E107" s="20"/>
      <c r="F107" s="10"/>
      <c r="G107" s="25"/>
      <c r="H107" s="10" t="s">
        <v>173</v>
      </c>
      <c r="I107" s="8" t="s">
        <v>203</v>
      </c>
      <c r="J107" s="10">
        <v>133</v>
      </c>
      <c r="K107" s="10">
        <v>15</v>
      </c>
      <c r="L107" s="10">
        <v>9</v>
      </c>
      <c r="M107" s="10">
        <v>6</v>
      </c>
      <c r="N107" s="10">
        <v>6</v>
      </c>
      <c r="O107" s="10">
        <v>5</v>
      </c>
      <c r="P107" s="10">
        <v>12</v>
      </c>
      <c r="Q107" s="10">
        <v>8</v>
      </c>
      <c r="R107" s="10"/>
      <c r="S107" s="10"/>
      <c r="T107" s="10"/>
      <c r="U107" s="10"/>
      <c r="V107" s="10"/>
      <c r="W107" s="8">
        <f t="shared" si="4"/>
        <v>61</v>
      </c>
      <c r="X107" s="17">
        <f t="shared" si="5"/>
        <v>45.864661654135332</v>
      </c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spans="2:39" x14ac:dyDescent="0.3">
      <c r="B108" s="10"/>
      <c r="C108" s="11"/>
      <c r="D108" s="11"/>
      <c r="E108" s="20"/>
      <c r="F108" s="10"/>
      <c r="G108" s="25"/>
      <c r="H108" s="10" t="s">
        <v>187</v>
      </c>
      <c r="I108" s="8" t="s">
        <v>204</v>
      </c>
      <c r="J108" s="10">
        <v>150</v>
      </c>
      <c r="K108" s="10">
        <v>17</v>
      </c>
      <c r="L108" s="10">
        <v>11</v>
      </c>
      <c r="M108" s="10">
        <v>11</v>
      </c>
      <c r="N108" s="10">
        <v>18</v>
      </c>
      <c r="O108" s="10">
        <v>11</v>
      </c>
      <c r="P108" s="10">
        <v>11</v>
      </c>
      <c r="Q108" s="10">
        <v>17</v>
      </c>
      <c r="R108" s="10"/>
      <c r="S108" s="10"/>
      <c r="T108" s="10"/>
      <c r="U108" s="10"/>
      <c r="V108" s="10"/>
      <c r="W108" s="8">
        <f t="shared" si="4"/>
        <v>96</v>
      </c>
      <c r="X108" s="17">
        <f t="shared" si="5"/>
        <v>64</v>
      </c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</row>
    <row r="109" spans="2:39" x14ac:dyDescent="0.3">
      <c r="B109" s="10"/>
      <c r="C109" s="11"/>
      <c r="D109" s="11"/>
      <c r="E109" s="20"/>
      <c r="F109" s="10"/>
      <c r="G109" s="25"/>
      <c r="H109" s="10" t="s">
        <v>188</v>
      </c>
      <c r="I109" s="8" t="s">
        <v>205</v>
      </c>
      <c r="J109" s="10">
        <v>183</v>
      </c>
      <c r="K109" s="10">
        <v>12</v>
      </c>
      <c r="L109" s="10">
        <v>11</v>
      </c>
      <c r="M109" s="10">
        <v>14</v>
      </c>
      <c r="N109" s="10">
        <v>14</v>
      </c>
      <c r="O109" s="10">
        <v>17</v>
      </c>
      <c r="P109" s="10">
        <v>7</v>
      </c>
      <c r="Q109" s="10">
        <v>17</v>
      </c>
      <c r="R109" s="10"/>
      <c r="S109" s="10"/>
      <c r="T109" s="10"/>
      <c r="U109" s="10"/>
      <c r="V109" s="10"/>
      <c r="W109" s="8">
        <f t="shared" si="4"/>
        <v>92</v>
      </c>
      <c r="X109" s="17">
        <f t="shared" si="5"/>
        <v>50.27322404371585</v>
      </c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</row>
    <row r="110" spans="2:39" x14ac:dyDescent="0.3">
      <c r="B110" s="10"/>
      <c r="C110" s="11"/>
      <c r="D110" s="11"/>
      <c r="E110" s="20"/>
      <c r="F110" s="10"/>
      <c r="G110" s="25"/>
      <c r="H110" s="10" t="s">
        <v>174</v>
      </c>
      <c r="I110" s="8" t="s">
        <v>206</v>
      </c>
      <c r="J110" s="10">
        <v>100</v>
      </c>
      <c r="K110" s="10">
        <v>10</v>
      </c>
      <c r="L110" s="10">
        <v>7</v>
      </c>
      <c r="M110" s="10">
        <v>12</v>
      </c>
      <c r="N110" s="10">
        <v>3</v>
      </c>
      <c r="O110" s="10">
        <v>9</v>
      </c>
      <c r="P110" s="10">
        <v>7</v>
      </c>
      <c r="Q110" s="10">
        <v>7</v>
      </c>
      <c r="R110" s="10"/>
      <c r="S110" s="10"/>
      <c r="T110" s="10"/>
      <c r="U110" s="10"/>
      <c r="V110" s="10"/>
      <c r="W110" s="8">
        <f t="shared" si="4"/>
        <v>55</v>
      </c>
      <c r="X110" s="17">
        <f t="shared" si="5"/>
        <v>55.000000000000007</v>
      </c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</row>
    <row r="111" spans="2:39" x14ac:dyDescent="0.3">
      <c r="B111" s="10"/>
      <c r="C111" s="11"/>
      <c r="D111" s="11"/>
      <c r="E111" s="20"/>
      <c r="F111" s="10"/>
      <c r="G111" s="25"/>
      <c r="H111" s="10" t="s">
        <v>174</v>
      </c>
      <c r="I111" s="8" t="s">
        <v>217</v>
      </c>
      <c r="J111" s="10">
        <v>72</v>
      </c>
      <c r="K111" s="10">
        <v>6</v>
      </c>
      <c r="L111" s="10">
        <v>3</v>
      </c>
      <c r="M111" s="10">
        <v>2</v>
      </c>
      <c r="N111" s="10">
        <v>7</v>
      </c>
      <c r="O111" s="10">
        <v>5</v>
      </c>
      <c r="P111" s="10">
        <v>2</v>
      </c>
      <c r="Q111" s="10">
        <v>4</v>
      </c>
      <c r="R111" s="10"/>
      <c r="S111" s="10"/>
      <c r="T111" s="10"/>
      <c r="U111" s="10"/>
      <c r="V111" s="10"/>
      <c r="W111" s="8">
        <f t="shared" ref="W111" si="6">SUM(K111:V111)</f>
        <v>29</v>
      </c>
      <c r="X111" s="17">
        <f t="shared" ref="X111" si="7">W111/J111*100</f>
        <v>40.277777777777779</v>
      </c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</row>
    <row r="112" spans="2:39" x14ac:dyDescent="0.3">
      <c r="B112" s="10"/>
      <c r="C112" s="11"/>
      <c r="D112" s="11"/>
      <c r="E112" s="20"/>
      <c r="F112" s="10"/>
      <c r="G112" s="25"/>
      <c r="H112" s="10" t="s">
        <v>175</v>
      </c>
      <c r="I112" s="8" t="s">
        <v>207</v>
      </c>
      <c r="J112" s="10">
        <v>232</v>
      </c>
      <c r="K112" s="10">
        <v>21</v>
      </c>
      <c r="L112" s="10">
        <v>20</v>
      </c>
      <c r="M112" s="10">
        <v>27</v>
      </c>
      <c r="N112" s="10">
        <v>22</v>
      </c>
      <c r="O112" s="10">
        <v>25</v>
      </c>
      <c r="P112" s="10">
        <v>20</v>
      </c>
      <c r="Q112" s="10">
        <v>10</v>
      </c>
      <c r="R112" s="10"/>
      <c r="S112" s="10"/>
      <c r="T112" s="10"/>
      <c r="U112" s="10"/>
      <c r="V112" s="10"/>
      <c r="W112" s="8">
        <f t="shared" si="4"/>
        <v>145</v>
      </c>
      <c r="X112" s="17">
        <f t="shared" si="5"/>
        <v>62.5</v>
      </c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</row>
    <row r="113" spans="2:39" x14ac:dyDescent="0.3">
      <c r="B113" s="10"/>
      <c r="C113" s="11"/>
      <c r="D113" s="11"/>
      <c r="E113" s="20"/>
      <c r="F113" s="10"/>
      <c r="G113" s="25"/>
      <c r="H113" s="10" t="s">
        <v>189</v>
      </c>
      <c r="I113" s="8" t="s">
        <v>208</v>
      </c>
      <c r="J113" s="10">
        <v>275</v>
      </c>
      <c r="K113" s="10">
        <v>25</v>
      </c>
      <c r="L113" s="10">
        <v>16</v>
      </c>
      <c r="M113" s="10">
        <v>16</v>
      </c>
      <c r="N113" s="10">
        <v>29</v>
      </c>
      <c r="O113" s="10">
        <v>30</v>
      </c>
      <c r="P113" s="10">
        <v>21</v>
      </c>
      <c r="Q113" s="10">
        <v>25</v>
      </c>
      <c r="R113" s="10"/>
      <c r="S113" s="10"/>
      <c r="T113" s="10"/>
      <c r="U113" s="10"/>
      <c r="V113" s="10"/>
      <c r="W113" s="8">
        <f t="shared" si="4"/>
        <v>162</v>
      </c>
      <c r="X113" s="17">
        <f t="shared" si="5"/>
        <v>58.909090909090914</v>
      </c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</row>
    <row r="114" spans="2:39" x14ac:dyDescent="0.3">
      <c r="B114" s="10"/>
      <c r="C114" s="11"/>
      <c r="D114" s="11"/>
      <c r="E114" s="20"/>
      <c r="F114" s="10"/>
      <c r="G114" s="25"/>
      <c r="H114" s="10" t="s">
        <v>176</v>
      </c>
      <c r="I114" s="8" t="s">
        <v>209</v>
      </c>
      <c r="J114" s="10">
        <v>210</v>
      </c>
      <c r="K114" s="10">
        <v>8</v>
      </c>
      <c r="L114" s="10">
        <v>18</v>
      </c>
      <c r="M114" s="10">
        <v>15</v>
      </c>
      <c r="N114" s="10">
        <v>17</v>
      </c>
      <c r="O114" s="10">
        <v>22</v>
      </c>
      <c r="P114" s="10">
        <v>17</v>
      </c>
      <c r="Q114" s="10">
        <v>13</v>
      </c>
      <c r="R114" s="10"/>
      <c r="S114" s="10"/>
      <c r="T114" s="10"/>
      <c r="U114" s="10"/>
      <c r="V114" s="10"/>
      <c r="W114" s="8">
        <f t="shared" si="4"/>
        <v>110</v>
      </c>
      <c r="X114" s="17">
        <f t="shared" si="5"/>
        <v>52.380952380952387</v>
      </c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</row>
    <row r="115" spans="2:39" x14ac:dyDescent="0.3">
      <c r="B115" s="10"/>
      <c r="C115" s="11"/>
      <c r="D115" s="11"/>
      <c r="E115" s="20"/>
      <c r="F115" s="10"/>
      <c r="G115" s="25"/>
      <c r="H115" s="10" t="s">
        <v>177</v>
      </c>
      <c r="I115" s="8" t="s">
        <v>210</v>
      </c>
      <c r="J115" s="10">
        <v>245</v>
      </c>
      <c r="K115" s="10">
        <v>25</v>
      </c>
      <c r="L115" s="10">
        <v>15</v>
      </c>
      <c r="M115" s="10">
        <v>13</v>
      </c>
      <c r="N115" s="10">
        <v>23</v>
      </c>
      <c r="O115" s="10">
        <v>17</v>
      </c>
      <c r="P115" s="10">
        <v>22</v>
      </c>
      <c r="Q115" s="10">
        <v>19</v>
      </c>
      <c r="R115" s="10"/>
      <c r="S115" s="10"/>
      <c r="T115" s="10"/>
      <c r="U115" s="10"/>
      <c r="V115" s="10"/>
      <c r="W115" s="8">
        <f t="shared" si="4"/>
        <v>134</v>
      </c>
      <c r="X115" s="17">
        <f t="shared" si="5"/>
        <v>54.693877551020407</v>
      </c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</row>
    <row r="116" spans="2:39" x14ac:dyDescent="0.3">
      <c r="B116" s="10"/>
      <c r="C116" s="11"/>
      <c r="D116" s="11"/>
      <c r="E116" s="20"/>
      <c r="F116" s="10"/>
      <c r="G116" s="25"/>
      <c r="H116" s="10" t="s">
        <v>190</v>
      </c>
      <c r="I116" s="8" t="s">
        <v>211</v>
      </c>
      <c r="J116" s="10">
        <v>147</v>
      </c>
      <c r="K116" s="10">
        <v>6</v>
      </c>
      <c r="L116" s="10">
        <v>8</v>
      </c>
      <c r="M116" s="10">
        <v>8</v>
      </c>
      <c r="N116" s="10">
        <v>20</v>
      </c>
      <c r="O116" s="10">
        <v>6</v>
      </c>
      <c r="P116" s="10">
        <v>19</v>
      </c>
      <c r="Q116" s="10">
        <v>11</v>
      </c>
      <c r="R116" s="10"/>
      <c r="S116" s="10"/>
      <c r="T116" s="10"/>
      <c r="U116" s="10"/>
      <c r="V116" s="10"/>
      <c r="W116" s="8">
        <f t="shared" si="4"/>
        <v>78</v>
      </c>
      <c r="X116" s="17">
        <f t="shared" si="5"/>
        <v>53.061224489795919</v>
      </c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</row>
    <row r="117" spans="2:39" x14ac:dyDescent="0.3">
      <c r="B117" s="10"/>
      <c r="C117" s="11"/>
      <c r="D117" s="11"/>
      <c r="E117" s="20"/>
      <c r="F117" s="10"/>
      <c r="G117" s="25"/>
      <c r="H117" s="10" t="s">
        <v>191</v>
      </c>
      <c r="I117" s="8" t="s">
        <v>212</v>
      </c>
      <c r="J117" s="10">
        <v>332</v>
      </c>
      <c r="K117" s="10">
        <v>21</v>
      </c>
      <c r="L117" s="10">
        <v>17</v>
      </c>
      <c r="M117" s="10">
        <v>23</v>
      </c>
      <c r="N117" s="10">
        <v>32</v>
      </c>
      <c r="O117" s="10">
        <v>31</v>
      </c>
      <c r="P117" s="10">
        <v>21</v>
      </c>
      <c r="Q117" s="10">
        <v>14</v>
      </c>
      <c r="R117" s="10"/>
      <c r="S117" s="10"/>
      <c r="T117" s="10"/>
      <c r="U117" s="10"/>
      <c r="V117" s="10"/>
      <c r="W117" s="8">
        <f t="shared" si="4"/>
        <v>159</v>
      </c>
      <c r="X117" s="17">
        <f t="shared" si="5"/>
        <v>47.891566265060241</v>
      </c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</row>
    <row r="118" spans="2:39" x14ac:dyDescent="0.3">
      <c r="B118" s="10"/>
      <c r="C118" s="11"/>
      <c r="D118" s="11"/>
      <c r="E118" s="20"/>
      <c r="F118" s="10"/>
      <c r="G118" s="25"/>
      <c r="H118" s="10" t="s">
        <v>178</v>
      </c>
      <c r="I118" s="8" t="s">
        <v>213</v>
      </c>
      <c r="J118" s="10">
        <v>353</v>
      </c>
      <c r="K118" s="10">
        <v>30</v>
      </c>
      <c r="L118" s="10">
        <v>23</v>
      </c>
      <c r="M118" s="10">
        <v>23</v>
      </c>
      <c r="N118" s="10">
        <v>31</v>
      </c>
      <c r="O118" s="10">
        <v>36</v>
      </c>
      <c r="P118" s="10">
        <v>22</v>
      </c>
      <c r="Q118" s="10">
        <v>23</v>
      </c>
      <c r="R118" s="10"/>
      <c r="S118" s="10"/>
      <c r="T118" s="10"/>
      <c r="U118" s="10"/>
      <c r="V118" s="10"/>
      <c r="W118" s="8">
        <f t="shared" si="4"/>
        <v>188</v>
      </c>
      <c r="X118" s="17">
        <f t="shared" si="5"/>
        <v>53.257790368271948</v>
      </c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</row>
    <row r="119" spans="2:39" x14ac:dyDescent="0.3">
      <c r="B119" s="10"/>
      <c r="C119" s="11"/>
      <c r="D119" s="11"/>
      <c r="E119" s="20"/>
      <c r="F119" s="10"/>
      <c r="G119" s="25"/>
      <c r="H119" s="10" t="s">
        <v>179</v>
      </c>
      <c r="I119" s="8" t="s">
        <v>214</v>
      </c>
      <c r="J119" s="10">
        <v>112</v>
      </c>
      <c r="K119" s="10">
        <v>10</v>
      </c>
      <c r="L119" s="10">
        <v>4</v>
      </c>
      <c r="M119" s="10">
        <v>8</v>
      </c>
      <c r="N119" s="10">
        <v>11</v>
      </c>
      <c r="O119" s="10">
        <v>10</v>
      </c>
      <c r="P119" s="10">
        <v>10</v>
      </c>
      <c r="Q119" s="10">
        <v>10</v>
      </c>
      <c r="R119" s="10"/>
      <c r="S119" s="10"/>
      <c r="T119" s="10"/>
      <c r="U119" s="10"/>
      <c r="V119" s="10"/>
      <c r="W119" s="8">
        <f t="shared" si="4"/>
        <v>63</v>
      </c>
      <c r="X119" s="17">
        <f t="shared" si="5"/>
        <v>56.25</v>
      </c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</row>
    <row r="120" spans="2:39" x14ac:dyDescent="0.3">
      <c r="B120" s="10"/>
      <c r="C120" s="11"/>
      <c r="D120" s="11"/>
      <c r="E120" s="20"/>
      <c r="F120" s="10"/>
      <c r="G120" s="25"/>
      <c r="H120" s="10" t="s">
        <v>180</v>
      </c>
      <c r="I120" s="8" t="s">
        <v>215</v>
      </c>
      <c r="J120" s="10">
        <v>372</v>
      </c>
      <c r="K120" s="10">
        <v>28</v>
      </c>
      <c r="L120" s="10">
        <v>33</v>
      </c>
      <c r="M120" s="10">
        <v>38</v>
      </c>
      <c r="N120" s="10">
        <v>31</v>
      </c>
      <c r="O120" s="10">
        <v>29</v>
      </c>
      <c r="P120" s="10">
        <v>30</v>
      </c>
      <c r="Q120" s="10">
        <v>26</v>
      </c>
      <c r="R120" s="10"/>
      <c r="S120" s="10"/>
      <c r="T120" s="10"/>
      <c r="U120" s="10"/>
      <c r="V120" s="10"/>
      <c r="W120" s="8">
        <f t="shared" si="4"/>
        <v>215</v>
      </c>
      <c r="X120" s="17">
        <f t="shared" si="5"/>
        <v>57.795698924731184</v>
      </c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</row>
    <row r="121" spans="2:39" x14ac:dyDescent="0.3">
      <c r="B121" s="10"/>
      <c r="C121" s="11"/>
      <c r="D121" s="11"/>
      <c r="E121" s="20"/>
      <c r="F121" s="10"/>
      <c r="G121" s="25"/>
      <c r="H121" s="10" t="s">
        <v>192</v>
      </c>
      <c r="I121" s="8" t="s">
        <v>216</v>
      </c>
      <c r="J121" s="10">
        <v>81</v>
      </c>
      <c r="K121" s="10">
        <v>2</v>
      </c>
      <c r="L121" s="10">
        <v>5</v>
      </c>
      <c r="M121" s="10">
        <v>4</v>
      </c>
      <c r="N121" s="10">
        <v>7</v>
      </c>
      <c r="O121" s="10">
        <v>8</v>
      </c>
      <c r="P121" s="10">
        <v>4</v>
      </c>
      <c r="Q121" s="10">
        <v>11</v>
      </c>
      <c r="R121" s="10"/>
      <c r="S121" s="10"/>
      <c r="T121" s="10"/>
      <c r="U121" s="10"/>
      <c r="V121" s="10"/>
      <c r="W121" s="8">
        <f t="shared" si="4"/>
        <v>41</v>
      </c>
      <c r="X121" s="17">
        <f t="shared" si="5"/>
        <v>50.617283950617285</v>
      </c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</row>
    <row r="122" spans="2:39" x14ac:dyDescent="0.3">
      <c r="B122" s="10"/>
      <c r="C122" s="11"/>
      <c r="D122" s="11"/>
      <c r="E122" s="20"/>
      <c r="F122" s="10"/>
      <c r="G122" s="25"/>
      <c r="H122" s="10" t="s">
        <v>181</v>
      </c>
      <c r="I122" s="8" t="s">
        <v>218</v>
      </c>
      <c r="J122" s="10">
        <v>101</v>
      </c>
      <c r="K122" s="10">
        <v>9</v>
      </c>
      <c r="L122" s="10">
        <v>6</v>
      </c>
      <c r="M122" s="10">
        <v>7</v>
      </c>
      <c r="N122" s="10">
        <v>10</v>
      </c>
      <c r="O122" s="10">
        <v>2</v>
      </c>
      <c r="P122" s="10">
        <v>9</v>
      </c>
      <c r="Q122" s="10">
        <v>7</v>
      </c>
      <c r="R122" s="10"/>
      <c r="S122" s="10"/>
      <c r="T122" s="10"/>
      <c r="U122" s="10"/>
      <c r="V122" s="10"/>
      <c r="W122" s="8">
        <f t="shared" si="4"/>
        <v>50</v>
      </c>
      <c r="X122" s="17">
        <f t="shared" si="5"/>
        <v>49.504950495049506</v>
      </c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spans="2:39" s="1" customFormat="1" ht="43.2" x14ac:dyDescent="0.3">
      <c r="B123" s="8"/>
      <c r="C123" s="11"/>
      <c r="D123" s="11"/>
      <c r="E123" s="20" t="s">
        <v>122</v>
      </c>
      <c r="F123" s="11" t="s">
        <v>223</v>
      </c>
      <c r="G123" s="23" t="s">
        <v>220</v>
      </c>
      <c r="H123" s="8" t="s">
        <v>167</v>
      </c>
      <c r="I123" s="8" t="s">
        <v>193</v>
      </c>
      <c r="J123" s="8">
        <v>158</v>
      </c>
      <c r="K123" s="8">
        <v>19</v>
      </c>
      <c r="L123" s="8">
        <v>13</v>
      </c>
      <c r="M123" s="8">
        <v>10</v>
      </c>
      <c r="N123" s="8">
        <v>12</v>
      </c>
      <c r="O123" s="8">
        <v>7</v>
      </c>
      <c r="P123" s="8">
        <v>15</v>
      </c>
      <c r="Q123" s="8">
        <v>12</v>
      </c>
      <c r="R123" s="8"/>
      <c r="S123" s="8"/>
      <c r="T123" s="8"/>
      <c r="U123" s="8"/>
      <c r="V123" s="8"/>
      <c r="W123" s="8">
        <f t="shared" ref="W123:W148" si="8">SUM(K123:V123)</f>
        <v>88</v>
      </c>
      <c r="X123" s="17">
        <f t="shared" ref="X123:X148" si="9">W123/J123*100</f>
        <v>55.696202531645568</v>
      </c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spans="2:39" x14ac:dyDescent="0.3">
      <c r="B124" s="10"/>
      <c r="C124" s="11"/>
      <c r="D124" s="11"/>
      <c r="E124" s="20"/>
      <c r="F124" s="10"/>
      <c r="G124" s="25"/>
      <c r="H124" s="10" t="s">
        <v>183</v>
      </c>
      <c r="I124" s="8" t="s">
        <v>194</v>
      </c>
      <c r="J124" s="10">
        <v>214</v>
      </c>
      <c r="K124" s="10">
        <v>20</v>
      </c>
      <c r="L124" s="10">
        <v>18</v>
      </c>
      <c r="M124" s="10">
        <v>22</v>
      </c>
      <c r="N124" s="10">
        <v>15</v>
      </c>
      <c r="O124" s="10">
        <v>21</v>
      </c>
      <c r="P124" s="10">
        <v>11</v>
      </c>
      <c r="Q124" s="10">
        <v>12</v>
      </c>
      <c r="R124" s="10"/>
      <c r="S124" s="10"/>
      <c r="T124" s="10"/>
      <c r="U124" s="10"/>
      <c r="V124" s="10"/>
      <c r="W124" s="8">
        <f t="shared" si="8"/>
        <v>119</v>
      </c>
      <c r="X124" s="17">
        <f t="shared" si="9"/>
        <v>55.607476635514018</v>
      </c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</row>
    <row r="125" spans="2:39" x14ac:dyDescent="0.3">
      <c r="B125" s="10"/>
      <c r="C125" s="11"/>
      <c r="D125" s="11"/>
      <c r="E125" s="20"/>
      <c r="F125" s="10"/>
      <c r="G125" s="25"/>
      <c r="H125" s="10" t="s">
        <v>184</v>
      </c>
      <c r="I125" s="8" t="s">
        <v>195</v>
      </c>
      <c r="J125" s="10">
        <v>111</v>
      </c>
      <c r="K125" s="10">
        <v>4</v>
      </c>
      <c r="L125" s="10">
        <v>9</v>
      </c>
      <c r="M125" s="10">
        <v>7</v>
      </c>
      <c r="N125" s="10">
        <v>5</v>
      </c>
      <c r="O125" s="10">
        <v>4</v>
      </c>
      <c r="P125" s="10">
        <v>7</v>
      </c>
      <c r="Q125" s="10">
        <v>10</v>
      </c>
      <c r="R125" s="10"/>
      <c r="S125" s="10"/>
      <c r="T125" s="10"/>
      <c r="U125" s="10"/>
      <c r="V125" s="10"/>
      <c r="W125" s="8">
        <f t="shared" si="8"/>
        <v>46</v>
      </c>
      <c r="X125" s="17">
        <f t="shared" si="9"/>
        <v>41.441441441441441</v>
      </c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</row>
    <row r="126" spans="2:39" x14ac:dyDescent="0.3">
      <c r="B126" s="10"/>
      <c r="C126" s="11"/>
      <c r="D126" s="11"/>
      <c r="E126" s="20"/>
      <c r="F126" s="10"/>
      <c r="G126" s="25"/>
      <c r="H126" s="10" t="s">
        <v>185</v>
      </c>
      <c r="I126" s="8" t="s">
        <v>196</v>
      </c>
      <c r="J126" s="10">
        <v>231</v>
      </c>
      <c r="K126" s="10">
        <v>13</v>
      </c>
      <c r="L126" s="10">
        <v>20</v>
      </c>
      <c r="M126" s="10">
        <v>14</v>
      </c>
      <c r="N126" s="10">
        <v>14</v>
      </c>
      <c r="O126" s="10">
        <v>15</v>
      </c>
      <c r="P126" s="10">
        <v>18</v>
      </c>
      <c r="Q126" s="10">
        <v>14</v>
      </c>
      <c r="R126" s="10"/>
      <c r="S126" s="10"/>
      <c r="T126" s="10"/>
      <c r="U126" s="10"/>
      <c r="V126" s="10"/>
      <c r="W126" s="8">
        <f t="shared" si="8"/>
        <v>108</v>
      </c>
      <c r="X126" s="17">
        <f t="shared" si="9"/>
        <v>46.753246753246749</v>
      </c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spans="2:39" x14ac:dyDescent="0.3">
      <c r="B127" s="10"/>
      <c r="C127" s="11"/>
      <c r="D127" s="11"/>
      <c r="E127" s="20"/>
      <c r="F127" s="10"/>
      <c r="G127" s="25"/>
      <c r="H127" s="10" t="s">
        <v>168</v>
      </c>
      <c r="I127" s="8" t="s">
        <v>197</v>
      </c>
      <c r="J127" s="10">
        <v>146</v>
      </c>
      <c r="K127" s="10">
        <v>12</v>
      </c>
      <c r="L127" s="10">
        <v>12</v>
      </c>
      <c r="M127" s="10">
        <v>8</v>
      </c>
      <c r="N127" s="10">
        <v>13</v>
      </c>
      <c r="O127" s="10">
        <v>11</v>
      </c>
      <c r="P127" s="10">
        <v>9</v>
      </c>
      <c r="Q127" s="10">
        <v>15</v>
      </c>
      <c r="R127" s="10"/>
      <c r="S127" s="10"/>
      <c r="T127" s="10"/>
      <c r="U127" s="10"/>
      <c r="V127" s="10"/>
      <c r="W127" s="8">
        <f t="shared" si="8"/>
        <v>80</v>
      </c>
      <c r="X127" s="17">
        <f t="shared" si="9"/>
        <v>54.794520547945204</v>
      </c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</row>
    <row r="128" spans="2:39" x14ac:dyDescent="0.3">
      <c r="B128" s="10"/>
      <c r="C128" s="11"/>
      <c r="D128" s="11"/>
      <c r="E128" s="20"/>
      <c r="F128" s="10"/>
      <c r="G128" s="25"/>
      <c r="H128" s="10" t="s">
        <v>169</v>
      </c>
      <c r="I128" s="8" t="s">
        <v>198</v>
      </c>
      <c r="J128" s="10">
        <v>108</v>
      </c>
      <c r="K128" s="10">
        <v>14</v>
      </c>
      <c r="L128" s="10">
        <v>5</v>
      </c>
      <c r="M128" s="10">
        <v>12</v>
      </c>
      <c r="N128" s="10">
        <v>7</v>
      </c>
      <c r="O128" s="10">
        <v>10</v>
      </c>
      <c r="P128" s="10">
        <v>6</v>
      </c>
      <c r="Q128" s="10">
        <v>13</v>
      </c>
      <c r="R128" s="10"/>
      <c r="S128" s="10"/>
      <c r="T128" s="10"/>
      <c r="U128" s="10"/>
      <c r="V128" s="10"/>
      <c r="W128" s="8">
        <f t="shared" si="8"/>
        <v>67</v>
      </c>
      <c r="X128" s="17">
        <f t="shared" si="9"/>
        <v>62.037037037037038</v>
      </c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</row>
    <row r="129" spans="2:39" x14ac:dyDescent="0.3">
      <c r="B129" s="10"/>
      <c r="C129" s="11"/>
      <c r="D129" s="11"/>
      <c r="E129" s="20"/>
      <c r="F129" s="10"/>
      <c r="G129" s="25"/>
      <c r="H129" s="10" t="s">
        <v>170</v>
      </c>
      <c r="I129" s="8" t="s">
        <v>199</v>
      </c>
      <c r="J129" s="10">
        <v>156</v>
      </c>
      <c r="K129" s="10">
        <v>11</v>
      </c>
      <c r="L129" s="10">
        <v>11</v>
      </c>
      <c r="M129" s="10">
        <v>15</v>
      </c>
      <c r="N129" s="10">
        <v>22</v>
      </c>
      <c r="O129" s="10">
        <v>17</v>
      </c>
      <c r="P129" s="10">
        <v>11</v>
      </c>
      <c r="Q129" s="10">
        <v>11</v>
      </c>
      <c r="R129" s="10"/>
      <c r="S129" s="10"/>
      <c r="T129" s="10"/>
      <c r="U129" s="10"/>
      <c r="V129" s="10"/>
      <c r="W129" s="8">
        <f t="shared" si="8"/>
        <v>98</v>
      </c>
      <c r="X129" s="17">
        <f t="shared" si="9"/>
        <v>62.820512820512818</v>
      </c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</row>
    <row r="130" spans="2:39" x14ac:dyDescent="0.3">
      <c r="B130" s="10"/>
      <c r="C130" s="11"/>
      <c r="D130" s="11"/>
      <c r="E130" s="20"/>
      <c r="F130" s="10"/>
      <c r="G130" s="25"/>
      <c r="H130" s="10" t="s">
        <v>186</v>
      </c>
      <c r="I130" s="8" t="s">
        <v>200</v>
      </c>
      <c r="J130" s="10">
        <v>127</v>
      </c>
      <c r="K130" s="10">
        <v>13</v>
      </c>
      <c r="L130" s="10">
        <v>8</v>
      </c>
      <c r="M130" s="10">
        <v>13</v>
      </c>
      <c r="N130" s="10">
        <v>13</v>
      </c>
      <c r="O130" s="10">
        <v>14</v>
      </c>
      <c r="P130" s="10">
        <v>18</v>
      </c>
      <c r="Q130" s="10">
        <v>14</v>
      </c>
      <c r="R130" s="10"/>
      <c r="S130" s="10"/>
      <c r="T130" s="10"/>
      <c r="U130" s="10"/>
      <c r="V130" s="10"/>
      <c r="W130" s="8">
        <f t="shared" si="8"/>
        <v>93</v>
      </c>
      <c r="X130" s="17">
        <f t="shared" si="9"/>
        <v>73.228346456692918</v>
      </c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</row>
    <row r="131" spans="2:39" x14ac:dyDescent="0.3">
      <c r="B131" s="10"/>
      <c r="C131" s="11"/>
      <c r="D131" s="11"/>
      <c r="E131" s="20"/>
      <c r="F131" s="10"/>
      <c r="G131" s="25"/>
      <c r="H131" s="10" t="s">
        <v>171</v>
      </c>
      <c r="I131" s="8" t="s">
        <v>201</v>
      </c>
      <c r="J131" s="10">
        <v>205</v>
      </c>
      <c r="K131" s="10">
        <v>17</v>
      </c>
      <c r="L131" s="10">
        <v>20</v>
      </c>
      <c r="M131" s="10">
        <v>8</v>
      </c>
      <c r="N131" s="10">
        <v>17</v>
      </c>
      <c r="O131" s="10">
        <v>19</v>
      </c>
      <c r="P131" s="10">
        <v>14</v>
      </c>
      <c r="Q131" s="10">
        <v>18</v>
      </c>
      <c r="R131" s="10"/>
      <c r="S131" s="10"/>
      <c r="T131" s="10"/>
      <c r="U131" s="10"/>
      <c r="V131" s="10"/>
      <c r="W131" s="8">
        <f t="shared" si="8"/>
        <v>113</v>
      </c>
      <c r="X131" s="17">
        <f t="shared" si="9"/>
        <v>55.121951219512198</v>
      </c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</row>
    <row r="132" spans="2:39" x14ac:dyDescent="0.3">
      <c r="B132" s="10"/>
      <c r="C132" s="11"/>
      <c r="D132" s="11"/>
      <c r="E132" s="20"/>
      <c r="F132" s="10"/>
      <c r="G132" s="25"/>
      <c r="H132" s="10" t="s">
        <v>172</v>
      </c>
      <c r="I132" s="8" t="s">
        <v>202</v>
      </c>
      <c r="J132" s="10">
        <v>340</v>
      </c>
      <c r="K132" s="10">
        <v>32</v>
      </c>
      <c r="L132" s="10">
        <v>21</v>
      </c>
      <c r="M132" s="10">
        <v>30</v>
      </c>
      <c r="N132" s="10">
        <v>35</v>
      </c>
      <c r="O132" s="10">
        <v>29</v>
      </c>
      <c r="P132" s="10">
        <v>31</v>
      </c>
      <c r="Q132" s="10">
        <v>22</v>
      </c>
      <c r="R132" s="10"/>
      <c r="S132" s="10"/>
      <c r="T132" s="10"/>
      <c r="U132" s="10"/>
      <c r="V132" s="10"/>
      <c r="W132" s="8">
        <f t="shared" si="8"/>
        <v>200</v>
      </c>
      <c r="X132" s="17">
        <f t="shared" si="9"/>
        <v>58.82352941176471</v>
      </c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</row>
    <row r="133" spans="2:39" x14ac:dyDescent="0.3">
      <c r="B133" s="10"/>
      <c r="C133" s="11"/>
      <c r="D133" s="11"/>
      <c r="E133" s="20"/>
      <c r="F133" s="10"/>
      <c r="G133" s="25"/>
      <c r="H133" s="10" t="s">
        <v>173</v>
      </c>
      <c r="I133" s="8" t="s">
        <v>203</v>
      </c>
      <c r="J133" s="10">
        <v>133</v>
      </c>
      <c r="K133" s="10">
        <v>11</v>
      </c>
      <c r="L133" s="10">
        <v>5</v>
      </c>
      <c r="M133" s="10">
        <v>11</v>
      </c>
      <c r="N133" s="10">
        <v>6</v>
      </c>
      <c r="O133" s="10">
        <v>6</v>
      </c>
      <c r="P133" s="10">
        <v>12</v>
      </c>
      <c r="Q133" s="10">
        <v>6</v>
      </c>
      <c r="R133" s="10"/>
      <c r="S133" s="10"/>
      <c r="T133" s="10"/>
      <c r="U133" s="10"/>
      <c r="V133" s="10"/>
      <c r="W133" s="8">
        <f t="shared" si="8"/>
        <v>57</v>
      </c>
      <c r="X133" s="17">
        <f t="shared" si="9"/>
        <v>42.857142857142854</v>
      </c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</row>
    <row r="134" spans="2:39" x14ac:dyDescent="0.3">
      <c r="B134" s="10"/>
      <c r="C134" s="11"/>
      <c r="D134" s="11"/>
      <c r="E134" s="20"/>
      <c r="F134" s="10"/>
      <c r="G134" s="25"/>
      <c r="H134" s="10" t="s">
        <v>187</v>
      </c>
      <c r="I134" s="8" t="s">
        <v>204</v>
      </c>
      <c r="J134" s="10">
        <v>150</v>
      </c>
      <c r="K134" s="10">
        <v>16</v>
      </c>
      <c r="L134" s="10">
        <v>10</v>
      </c>
      <c r="M134" s="10">
        <v>11</v>
      </c>
      <c r="N134" s="10">
        <v>18</v>
      </c>
      <c r="O134" s="10">
        <v>12</v>
      </c>
      <c r="P134" s="10">
        <v>11</v>
      </c>
      <c r="Q134" s="10">
        <v>18</v>
      </c>
      <c r="R134" s="10"/>
      <c r="S134" s="10"/>
      <c r="T134" s="10"/>
      <c r="U134" s="10"/>
      <c r="V134" s="10"/>
      <c r="W134" s="8">
        <f t="shared" si="8"/>
        <v>96</v>
      </c>
      <c r="X134" s="17">
        <f t="shared" si="9"/>
        <v>64</v>
      </c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</row>
    <row r="135" spans="2:39" x14ac:dyDescent="0.3">
      <c r="B135" s="10"/>
      <c r="C135" s="11"/>
      <c r="D135" s="11"/>
      <c r="E135" s="20"/>
      <c r="F135" s="10"/>
      <c r="G135" s="25"/>
      <c r="H135" s="10" t="s">
        <v>188</v>
      </c>
      <c r="I135" s="8" t="s">
        <v>205</v>
      </c>
      <c r="J135" s="10">
        <v>188</v>
      </c>
      <c r="K135" s="10">
        <v>10</v>
      </c>
      <c r="L135" s="10">
        <v>13</v>
      </c>
      <c r="M135" s="10">
        <v>9</v>
      </c>
      <c r="N135" s="10">
        <v>16</v>
      </c>
      <c r="O135" s="10">
        <v>16</v>
      </c>
      <c r="P135" s="10">
        <v>7</v>
      </c>
      <c r="Q135" s="10">
        <v>16</v>
      </c>
      <c r="R135" s="10"/>
      <c r="S135" s="10"/>
      <c r="T135" s="10"/>
      <c r="U135" s="10"/>
      <c r="V135" s="10"/>
      <c r="W135" s="8">
        <f t="shared" si="8"/>
        <v>87</v>
      </c>
      <c r="X135" s="17">
        <f t="shared" si="9"/>
        <v>46.276595744680847</v>
      </c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</row>
    <row r="136" spans="2:39" x14ac:dyDescent="0.3">
      <c r="B136" s="10"/>
      <c r="C136" s="11"/>
      <c r="D136" s="11"/>
      <c r="E136" s="20"/>
      <c r="F136" s="10"/>
      <c r="G136" s="25"/>
      <c r="H136" s="10" t="s">
        <v>174</v>
      </c>
      <c r="I136" s="8" t="s">
        <v>206</v>
      </c>
      <c r="J136" s="10">
        <v>104</v>
      </c>
      <c r="K136" s="10">
        <v>10</v>
      </c>
      <c r="L136" s="10">
        <v>7</v>
      </c>
      <c r="M136" s="10">
        <v>11</v>
      </c>
      <c r="N136" s="10">
        <v>4</v>
      </c>
      <c r="O136" s="10">
        <v>9</v>
      </c>
      <c r="P136" s="10">
        <v>7</v>
      </c>
      <c r="Q136" s="10">
        <v>5</v>
      </c>
      <c r="R136" s="10"/>
      <c r="S136" s="10"/>
      <c r="T136" s="10"/>
      <c r="U136" s="10"/>
      <c r="V136" s="10"/>
      <c r="W136" s="8">
        <f t="shared" si="8"/>
        <v>53</v>
      </c>
      <c r="X136" s="17">
        <f t="shared" si="9"/>
        <v>50.96153846153846</v>
      </c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</row>
    <row r="137" spans="2:39" x14ac:dyDescent="0.3">
      <c r="B137" s="10"/>
      <c r="C137" s="11"/>
      <c r="D137" s="11"/>
      <c r="E137" s="20"/>
      <c r="F137" s="10"/>
      <c r="G137" s="25"/>
      <c r="H137" s="10" t="s">
        <v>174</v>
      </c>
      <c r="I137" s="8" t="s">
        <v>217</v>
      </c>
      <c r="J137" s="10">
        <v>77</v>
      </c>
      <c r="K137" s="10">
        <v>6</v>
      </c>
      <c r="L137" s="10">
        <v>2</v>
      </c>
      <c r="M137" s="10">
        <v>2</v>
      </c>
      <c r="N137" s="10">
        <v>8</v>
      </c>
      <c r="O137" s="10">
        <v>5</v>
      </c>
      <c r="P137" s="10">
        <v>2</v>
      </c>
      <c r="Q137" s="10">
        <v>4</v>
      </c>
      <c r="R137" s="10"/>
      <c r="S137" s="10"/>
      <c r="T137" s="10"/>
      <c r="U137" s="10"/>
      <c r="V137" s="10"/>
      <c r="W137" s="8">
        <f t="shared" ref="W137" si="10">SUM(K137:V137)</f>
        <v>29</v>
      </c>
      <c r="X137" s="17">
        <f t="shared" ref="X137" si="11">W137/J137*100</f>
        <v>37.662337662337663</v>
      </c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spans="2:39" x14ac:dyDescent="0.3">
      <c r="B138" s="10"/>
      <c r="C138" s="11"/>
      <c r="D138" s="11"/>
      <c r="E138" s="20"/>
      <c r="F138" s="10"/>
      <c r="G138" s="25"/>
      <c r="H138" s="10" t="s">
        <v>175</v>
      </c>
      <c r="I138" s="8" t="s">
        <v>207</v>
      </c>
      <c r="J138" s="10">
        <v>225</v>
      </c>
      <c r="K138" s="10">
        <v>20</v>
      </c>
      <c r="L138" s="10">
        <v>20</v>
      </c>
      <c r="M138" s="10">
        <v>27</v>
      </c>
      <c r="N138" s="10">
        <v>24</v>
      </c>
      <c r="O138" s="10">
        <v>24</v>
      </c>
      <c r="P138" s="10">
        <v>20</v>
      </c>
      <c r="Q138" s="10">
        <v>10</v>
      </c>
      <c r="R138" s="10"/>
      <c r="S138" s="10"/>
      <c r="T138" s="10"/>
      <c r="U138" s="10"/>
      <c r="V138" s="10"/>
      <c r="W138" s="8">
        <f t="shared" si="8"/>
        <v>145</v>
      </c>
      <c r="X138" s="17">
        <f t="shared" si="9"/>
        <v>64.444444444444443</v>
      </c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</row>
    <row r="139" spans="2:39" x14ac:dyDescent="0.3">
      <c r="B139" s="10"/>
      <c r="C139" s="11"/>
      <c r="D139" s="11"/>
      <c r="E139" s="20"/>
      <c r="F139" s="10"/>
      <c r="G139" s="25"/>
      <c r="H139" s="10" t="s">
        <v>189</v>
      </c>
      <c r="I139" s="8" t="s">
        <v>208</v>
      </c>
      <c r="J139" s="10">
        <v>275</v>
      </c>
      <c r="K139" s="10">
        <v>25</v>
      </c>
      <c r="L139" s="10">
        <v>16</v>
      </c>
      <c r="M139" s="10">
        <v>18</v>
      </c>
      <c r="N139" s="10">
        <v>29</v>
      </c>
      <c r="O139" s="10">
        <v>30</v>
      </c>
      <c r="P139" s="10">
        <v>21</v>
      </c>
      <c r="Q139" s="10">
        <v>25</v>
      </c>
      <c r="R139" s="10"/>
      <c r="S139" s="10"/>
      <c r="T139" s="10"/>
      <c r="U139" s="10"/>
      <c r="V139" s="10"/>
      <c r="W139" s="8">
        <f t="shared" si="8"/>
        <v>164</v>
      </c>
      <c r="X139" s="17">
        <f t="shared" si="9"/>
        <v>59.636363636363633</v>
      </c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</row>
    <row r="140" spans="2:39" x14ac:dyDescent="0.3">
      <c r="B140" s="10"/>
      <c r="C140" s="11"/>
      <c r="D140" s="11"/>
      <c r="E140" s="20"/>
      <c r="F140" s="10"/>
      <c r="G140" s="25"/>
      <c r="H140" s="10" t="s">
        <v>176</v>
      </c>
      <c r="I140" s="8" t="s">
        <v>209</v>
      </c>
      <c r="J140" s="10">
        <v>212</v>
      </c>
      <c r="K140" s="10">
        <v>8</v>
      </c>
      <c r="L140" s="10">
        <v>18</v>
      </c>
      <c r="M140" s="10">
        <v>13</v>
      </c>
      <c r="N140" s="10">
        <v>17</v>
      </c>
      <c r="O140" s="10">
        <v>21</v>
      </c>
      <c r="P140" s="10">
        <v>16</v>
      </c>
      <c r="Q140" s="10">
        <v>14</v>
      </c>
      <c r="R140" s="10"/>
      <c r="S140" s="10"/>
      <c r="T140" s="10"/>
      <c r="U140" s="10"/>
      <c r="V140" s="10"/>
      <c r="W140" s="8">
        <f t="shared" si="8"/>
        <v>107</v>
      </c>
      <c r="X140" s="17">
        <f t="shared" si="9"/>
        <v>50.471698113207552</v>
      </c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</row>
    <row r="141" spans="2:39" x14ac:dyDescent="0.3">
      <c r="B141" s="10"/>
      <c r="C141" s="11"/>
      <c r="D141" s="11"/>
      <c r="E141" s="20"/>
      <c r="F141" s="10"/>
      <c r="G141" s="25"/>
      <c r="H141" s="10" t="s">
        <v>177</v>
      </c>
      <c r="I141" s="8" t="s">
        <v>210</v>
      </c>
      <c r="J141" s="10">
        <v>245</v>
      </c>
      <c r="K141" s="10">
        <v>24</v>
      </c>
      <c r="L141" s="10">
        <v>16</v>
      </c>
      <c r="M141" s="10">
        <v>12</v>
      </c>
      <c r="N141" s="10">
        <v>24</v>
      </c>
      <c r="O141" s="10">
        <v>16</v>
      </c>
      <c r="P141" s="10">
        <v>23</v>
      </c>
      <c r="Q141" s="10">
        <v>18</v>
      </c>
      <c r="R141" s="10"/>
      <c r="S141" s="10"/>
      <c r="T141" s="10"/>
      <c r="U141" s="10"/>
      <c r="V141" s="10"/>
      <c r="W141" s="8">
        <f t="shared" si="8"/>
        <v>133</v>
      </c>
      <c r="X141" s="17">
        <f t="shared" si="9"/>
        <v>54.285714285714285</v>
      </c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</row>
    <row r="142" spans="2:39" x14ac:dyDescent="0.3">
      <c r="B142" s="10"/>
      <c r="C142" s="11"/>
      <c r="D142" s="11"/>
      <c r="E142" s="20"/>
      <c r="F142" s="10"/>
      <c r="G142" s="25"/>
      <c r="H142" s="10" t="s">
        <v>190</v>
      </c>
      <c r="I142" s="8" t="s">
        <v>211</v>
      </c>
      <c r="J142" s="10">
        <v>147</v>
      </c>
      <c r="K142" s="10">
        <v>7</v>
      </c>
      <c r="L142" s="10">
        <v>8</v>
      </c>
      <c r="M142" s="10">
        <v>5</v>
      </c>
      <c r="N142" s="10">
        <v>23</v>
      </c>
      <c r="O142" s="10">
        <v>6</v>
      </c>
      <c r="P142" s="10">
        <v>15</v>
      </c>
      <c r="Q142" s="10">
        <v>15</v>
      </c>
      <c r="R142" s="10"/>
      <c r="S142" s="10"/>
      <c r="T142" s="10"/>
      <c r="U142" s="10"/>
      <c r="V142" s="10"/>
      <c r="W142" s="8">
        <f t="shared" si="8"/>
        <v>79</v>
      </c>
      <c r="X142" s="17">
        <f t="shared" si="9"/>
        <v>53.741496598639458</v>
      </c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</row>
    <row r="143" spans="2:39" x14ac:dyDescent="0.3">
      <c r="B143" s="10"/>
      <c r="C143" s="11"/>
      <c r="D143" s="11"/>
      <c r="E143" s="20"/>
      <c r="F143" s="10"/>
      <c r="G143" s="25"/>
      <c r="H143" s="10" t="s">
        <v>191</v>
      </c>
      <c r="I143" s="8" t="s">
        <v>212</v>
      </c>
      <c r="J143" s="10">
        <v>331</v>
      </c>
      <c r="K143" s="10">
        <v>22</v>
      </c>
      <c r="L143" s="10">
        <v>17</v>
      </c>
      <c r="M143" s="10">
        <v>21</v>
      </c>
      <c r="N143" s="10">
        <v>30</v>
      </c>
      <c r="O143" s="10">
        <v>30</v>
      </c>
      <c r="P143" s="10">
        <v>21</v>
      </c>
      <c r="Q143" s="10">
        <v>15</v>
      </c>
      <c r="R143" s="10"/>
      <c r="S143" s="10"/>
      <c r="T143" s="10"/>
      <c r="U143" s="10"/>
      <c r="V143" s="10"/>
      <c r="W143" s="8">
        <f t="shared" si="8"/>
        <v>156</v>
      </c>
      <c r="X143" s="17">
        <f t="shared" si="9"/>
        <v>47.129909365558916</v>
      </c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</row>
    <row r="144" spans="2:39" x14ac:dyDescent="0.3">
      <c r="B144" s="10"/>
      <c r="C144" s="11"/>
      <c r="D144" s="11"/>
      <c r="E144" s="20"/>
      <c r="F144" s="10"/>
      <c r="G144" s="25"/>
      <c r="H144" s="10" t="s">
        <v>178</v>
      </c>
      <c r="I144" s="8" t="s">
        <v>213</v>
      </c>
      <c r="J144" s="10">
        <v>347</v>
      </c>
      <c r="K144" s="10">
        <v>30</v>
      </c>
      <c r="L144" s="10">
        <v>22</v>
      </c>
      <c r="M144" s="10">
        <v>21</v>
      </c>
      <c r="N144" s="10">
        <v>31</v>
      </c>
      <c r="O144" s="10">
        <v>35</v>
      </c>
      <c r="P144" s="10">
        <v>22</v>
      </c>
      <c r="Q144" s="10">
        <v>22</v>
      </c>
      <c r="R144" s="10"/>
      <c r="S144" s="10"/>
      <c r="T144" s="10"/>
      <c r="U144" s="10"/>
      <c r="V144" s="10"/>
      <c r="W144" s="8">
        <f t="shared" si="8"/>
        <v>183</v>
      </c>
      <c r="X144" s="17">
        <f t="shared" si="9"/>
        <v>52.737752161383291</v>
      </c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</row>
    <row r="145" spans="2:39" x14ac:dyDescent="0.3">
      <c r="B145" s="10"/>
      <c r="C145" s="11"/>
      <c r="D145" s="11"/>
      <c r="E145" s="20"/>
      <c r="F145" s="10"/>
      <c r="G145" s="25"/>
      <c r="H145" s="10" t="s">
        <v>179</v>
      </c>
      <c r="I145" s="8" t="s">
        <v>214</v>
      </c>
      <c r="J145" s="10">
        <v>113</v>
      </c>
      <c r="K145" s="10">
        <v>8</v>
      </c>
      <c r="L145" s="10">
        <v>4</v>
      </c>
      <c r="M145" s="10">
        <v>8</v>
      </c>
      <c r="N145" s="10">
        <v>2</v>
      </c>
      <c r="O145" s="10">
        <v>13</v>
      </c>
      <c r="P145" s="10">
        <v>8</v>
      </c>
      <c r="Q145" s="10">
        <v>9</v>
      </c>
      <c r="R145" s="10"/>
      <c r="S145" s="10"/>
      <c r="T145" s="10"/>
      <c r="U145" s="10"/>
      <c r="V145" s="10"/>
      <c r="W145" s="8">
        <f t="shared" si="8"/>
        <v>52</v>
      </c>
      <c r="X145" s="17">
        <f t="shared" si="9"/>
        <v>46.017699115044245</v>
      </c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</row>
    <row r="146" spans="2:39" x14ac:dyDescent="0.3">
      <c r="B146" s="10"/>
      <c r="C146" s="11"/>
      <c r="D146" s="11"/>
      <c r="E146" s="20"/>
      <c r="F146" s="10"/>
      <c r="G146" s="25"/>
      <c r="H146" s="10" t="s">
        <v>180</v>
      </c>
      <c r="I146" s="8" t="s">
        <v>215</v>
      </c>
      <c r="J146" s="10">
        <v>373</v>
      </c>
      <c r="K146" s="10">
        <v>28</v>
      </c>
      <c r="L146" s="10">
        <v>34</v>
      </c>
      <c r="M146" s="10">
        <v>31</v>
      </c>
      <c r="N146" s="10">
        <v>28</v>
      </c>
      <c r="O146" s="10">
        <v>25</v>
      </c>
      <c r="P146" s="10">
        <v>35</v>
      </c>
      <c r="Q146" s="10">
        <v>22</v>
      </c>
      <c r="R146" s="10"/>
      <c r="S146" s="10"/>
      <c r="T146" s="10"/>
      <c r="U146" s="10"/>
      <c r="V146" s="10"/>
      <c r="W146" s="8">
        <f t="shared" si="8"/>
        <v>203</v>
      </c>
      <c r="X146" s="17">
        <f t="shared" si="9"/>
        <v>54.423592493297591</v>
      </c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</row>
    <row r="147" spans="2:39" x14ac:dyDescent="0.3">
      <c r="B147" s="10"/>
      <c r="C147" s="11"/>
      <c r="D147" s="11"/>
      <c r="E147" s="20"/>
      <c r="F147" s="10"/>
      <c r="G147" s="25"/>
      <c r="H147" s="10" t="s">
        <v>192</v>
      </c>
      <c r="I147" s="8" t="s">
        <v>216</v>
      </c>
      <c r="J147" s="10">
        <v>81</v>
      </c>
      <c r="K147" s="10">
        <v>2</v>
      </c>
      <c r="L147" s="10">
        <v>5</v>
      </c>
      <c r="M147" s="10">
        <v>4</v>
      </c>
      <c r="N147" s="10">
        <v>0</v>
      </c>
      <c r="O147" s="10">
        <v>8</v>
      </c>
      <c r="P147" s="10">
        <v>4</v>
      </c>
      <c r="Q147" s="10">
        <v>11</v>
      </c>
      <c r="R147" s="10"/>
      <c r="S147" s="10"/>
      <c r="T147" s="10"/>
      <c r="U147" s="10"/>
      <c r="V147" s="10"/>
      <c r="W147" s="8">
        <f t="shared" si="8"/>
        <v>34</v>
      </c>
      <c r="X147" s="17">
        <f t="shared" si="9"/>
        <v>41.975308641975303</v>
      </c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</row>
    <row r="148" spans="2:39" x14ac:dyDescent="0.3">
      <c r="B148" s="10"/>
      <c r="C148" s="11"/>
      <c r="D148" s="11"/>
      <c r="E148" s="20"/>
      <c r="F148" s="10"/>
      <c r="G148" s="25"/>
      <c r="H148" s="10" t="s">
        <v>181</v>
      </c>
      <c r="I148" s="8" t="s">
        <v>218</v>
      </c>
      <c r="J148" s="10">
        <v>102</v>
      </c>
      <c r="K148" s="10">
        <v>9</v>
      </c>
      <c r="L148" s="10">
        <v>6</v>
      </c>
      <c r="M148" s="10">
        <v>6</v>
      </c>
      <c r="N148" s="10">
        <v>10</v>
      </c>
      <c r="O148" s="10">
        <v>2</v>
      </c>
      <c r="P148" s="10">
        <v>10</v>
      </c>
      <c r="Q148" s="10">
        <v>7</v>
      </c>
      <c r="R148" s="10"/>
      <c r="S148" s="10"/>
      <c r="T148" s="10"/>
      <c r="U148" s="10"/>
      <c r="V148" s="10"/>
      <c r="W148" s="8">
        <f t="shared" si="8"/>
        <v>50</v>
      </c>
      <c r="X148" s="17">
        <f t="shared" si="9"/>
        <v>49.019607843137251</v>
      </c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</row>
    <row r="149" spans="2:39" x14ac:dyDescent="0.3">
      <c r="B149" s="10"/>
      <c r="C149" s="11"/>
      <c r="D149" s="11"/>
      <c r="E149" s="20" t="s">
        <v>123</v>
      </c>
      <c r="F149" s="10"/>
      <c r="G149" s="25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</row>
    <row r="150" spans="2:39" ht="28.8" x14ac:dyDescent="0.3">
      <c r="B150" s="10"/>
      <c r="C150" s="11"/>
      <c r="D150" s="11"/>
      <c r="E150" s="20" t="s">
        <v>124</v>
      </c>
      <c r="F150" s="10"/>
      <c r="G150" s="25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</row>
    <row r="151" spans="2:39" ht="28.8" x14ac:dyDescent="0.3">
      <c r="B151" s="10"/>
      <c r="C151" s="11"/>
      <c r="D151" s="11"/>
      <c r="E151" s="20" t="s">
        <v>125</v>
      </c>
      <c r="F151" s="10"/>
      <c r="G151" s="25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</row>
    <row r="152" spans="2:39" ht="28.8" x14ac:dyDescent="0.3">
      <c r="B152" s="10"/>
      <c r="C152" s="11"/>
      <c r="D152" s="11"/>
      <c r="E152" s="20" t="s">
        <v>126</v>
      </c>
      <c r="F152" s="10"/>
      <c r="G152" s="25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spans="2:39" ht="28.8" x14ac:dyDescent="0.3">
      <c r="B153" s="10"/>
      <c r="C153" s="11"/>
      <c r="D153" s="11"/>
      <c r="E153" s="20" t="s">
        <v>127</v>
      </c>
      <c r="F153" s="10"/>
      <c r="G153" s="25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</row>
    <row r="154" spans="2:39" ht="28.8" x14ac:dyDescent="0.3">
      <c r="B154" s="10"/>
      <c r="C154" s="11"/>
      <c r="D154" s="11"/>
      <c r="E154" s="20" t="s">
        <v>128</v>
      </c>
      <c r="F154" s="10"/>
      <c r="G154" s="25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</row>
    <row r="155" spans="2:39" ht="28.8" x14ac:dyDescent="0.3">
      <c r="B155" s="10"/>
      <c r="C155" s="11"/>
      <c r="D155" s="11"/>
      <c r="E155" s="20" t="s">
        <v>129</v>
      </c>
      <c r="F155" s="10"/>
      <c r="G155" s="25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</row>
    <row r="156" spans="2:39" ht="28.8" x14ac:dyDescent="0.3">
      <c r="B156" s="10"/>
      <c r="C156" s="11"/>
      <c r="D156" s="11"/>
      <c r="E156" s="20" t="s">
        <v>130</v>
      </c>
      <c r="F156" s="10"/>
      <c r="G156" s="25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</row>
    <row r="157" spans="2:39" ht="28.8" x14ac:dyDescent="0.3">
      <c r="B157" s="10"/>
      <c r="C157" s="11"/>
      <c r="D157" s="11"/>
      <c r="E157" s="20" t="s">
        <v>131</v>
      </c>
      <c r="F157" s="10"/>
      <c r="G157" s="25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</row>
    <row r="158" spans="2:39" ht="43.2" x14ac:dyDescent="0.3">
      <c r="B158" s="10"/>
      <c r="C158" s="11"/>
      <c r="D158" s="11"/>
      <c r="E158" s="11" t="s">
        <v>132</v>
      </c>
      <c r="F158" s="10"/>
      <c r="G158" s="25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</row>
    <row r="159" spans="2:39" ht="57.6" x14ac:dyDescent="0.3">
      <c r="B159" s="10"/>
      <c r="C159" s="11"/>
      <c r="D159" s="11"/>
      <c r="E159" s="11" t="s">
        <v>133</v>
      </c>
      <c r="F159" s="10"/>
      <c r="G159" s="25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</row>
    <row r="160" spans="2:39" ht="28.8" x14ac:dyDescent="0.3">
      <c r="B160" s="10"/>
      <c r="C160" s="11"/>
      <c r="D160" s="11"/>
      <c r="E160" s="11" t="s">
        <v>134</v>
      </c>
      <c r="F160" s="10"/>
      <c r="G160" s="25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</row>
    <row r="161" spans="2:39" ht="28.8" x14ac:dyDescent="0.3">
      <c r="B161" s="10"/>
      <c r="C161" s="11"/>
      <c r="D161" s="11"/>
      <c r="E161" s="11" t="s">
        <v>135</v>
      </c>
      <c r="F161" s="10"/>
      <c r="G161" s="25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</row>
    <row r="162" spans="2:39" ht="28.8" x14ac:dyDescent="0.3">
      <c r="B162" s="10"/>
      <c r="C162" s="11"/>
      <c r="D162" s="11"/>
      <c r="E162" s="11" t="s">
        <v>136</v>
      </c>
      <c r="F162" s="10"/>
      <c r="G162" s="25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</row>
    <row r="163" spans="2:39" ht="28.8" x14ac:dyDescent="0.3">
      <c r="B163" s="10"/>
      <c r="C163" s="11"/>
      <c r="D163" s="11"/>
      <c r="E163" s="11" t="s">
        <v>137</v>
      </c>
      <c r="F163" s="10"/>
      <c r="G163" s="25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</row>
    <row r="164" spans="2:39" ht="43.2" x14ac:dyDescent="0.3">
      <c r="B164" s="10"/>
      <c r="C164" s="11"/>
      <c r="D164" s="11"/>
      <c r="E164" s="11" t="s">
        <v>138</v>
      </c>
      <c r="F164" s="10"/>
      <c r="G164" s="25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</row>
    <row r="165" spans="2:39" x14ac:dyDescent="0.3">
      <c r="B165" s="10"/>
      <c r="C165" s="11"/>
      <c r="D165" s="11"/>
      <c r="E165" s="11" t="s">
        <v>139</v>
      </c>
      <c r="F165" s="10"/>
      <c r="G165" s="25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</row>
    <row r="166" spans="2:39" ht="28.8" x14ac:dyDescent="0.3">
      <c r="B166" s="10"/>
      <c r="C166" s="11"/>
      <c r="D166" s="11"/>
      <c r="E166" s="11" t="s">
        <v>140</v>
      </c>
      <c r="F166" s="10"/>
      <c r="G166" s="25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</row>
    <row r="167" spans="2:39" ht="28.8" x14ac:dyDescent="0.3">
      <c r="B167" s="10"/>
      <c r="C167" s="11"/>
      <c r="D167" s="11"/>
      <c r="E167" s="11" t="s">
        <v>141</v>
      </c>
      <c r="F167" s="10"/>
      <c r="G167" s="25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spans="2:39" ht="43.2" x14ac:dyDescent="0.3">
      <c r="B168" s="10"/>
      <c r="C168" s="11"/>
      <c r="D168" s="11"/>
      <c r="E168" s="11" t="s">
        <v>142</v>
      </c>
      <c r="F168" s="10"/>
      <c r="G168" s="25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</row>
    <row r="169" spans="2:39" ht="28.8" x14ac:dyDescent="0.3">
      <c r="B169" s="10"/>
      <c r="C169" s="11"/>
      <c r="D169" s="11"/>
      <c r="E169" s="11" t="s">
        <v>143</v>
      </c>
      <c r="F169" s="10"/>
      <c r="G169" s="25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</row>
    <row r="170" spans="2:39" ht="28.8" x14ac:dyDescent="0.3">
      <c r="B170" s="10"/>
      <c r="C170" s="11"/>
      <c r="D170" s="11"/>
      <c r="E170" s="11" t="s">
        <v>144</v>
      </c>
      <c r="F170" s="10"/>
      <c r="G170" s="25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</row>
    <row r="171" spans="2:39" ht="28.8" x14ac:dyDescent="0.3">
      <c r="B171" s="10"/>
      <c r="C171" s="11"/>
      <c r="D171" s="11"/>
      <c r="E171" s="11" t="s">
        <v>145</v>
      </c>
      <c r="F171" s="10"/>
      <c r="G171" s="25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</row>
    <row r="172" spans="2:39" ht="43.2" x14ac:dyDescent="0.3">
      <c r="B172" s="10"/>
      <c r="C172" s="11"/>
      <c r="D172" s="11"/>
      <c r="E172" s="11" t="s">
        <v>146</v>
      </c>
      <c r="F172" s="10"/>
      <c r="G172" s="25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</row>
    <row r="173" spans="2:39" x14ac:dyDescent="0.3">
      <c r="B173" s="10"/>
      <c r="C173" s="11"/>
      <c r="D173" s="11"/>
      <c r="E173" s="11" t="s">
        <v>147</v>
      </c>
      <c r="F173" s="10"/>
      <c r="G173" s="25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</row>
    <row r="174" spans="2:39" ht="28.8" x14ac:dyDescent="0.3">
      <c r="B174" s="10"/>
      <c r="C174" s="11"/>
      <c r="D174" s="11"/>
      <c r="E174" s="11" t="s">
        <v>148</v>
      </c>
      <c r="F174" s="10"/>
      <c r="G174" s="25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</row>
    <row r="175" spans="2:39" x14ac:dyDescent="0.3">
      <c r="B175" s="10"/>
      <c r="C175" s="11"/>
      <c r="D175" s="11"/>
      <c r="E175" s="11" t="s">
        <v>149</v>
      </c>
      <c r="F175" s="10"/>
      <c r="G175" s="25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</row>
    <row r="176" spans="2:39" ht="28.8" x14ac:dyDescent="0.3">
      <c r="B176" s="10"/>
      <c r="C176" s="11"/>
      <c r="D176" s="11"/>
      <c r="E176" s="11" t="s">
        <v>150</v>
      </c>
      <c r="F176" s="10"/>
      <c r="G176" s="25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</row>
    <row r="177" spans="2:39" ht="43.2" x14ac:dyDescent="0.3">
      <c r="B177" s="10"/>
      <c r="C177" s="11"/>
      <c r="D177" s="11"/>
      <c r="E177" s="11" t="s">
        <v>151</v>
      </c>
      <c r="F177" s="10"/>
      <c r="G177" s="25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</row>
    <row r="178" spans="2:39" ht="28.8" x14ac:dyDescent="0.3">
      <c r="B178" s="10"/>
      <c r="C178" s="11"/>
      <c r="D178" s="11"/>
      <c r="E178" s="11" t="s">
        <v>152</v>
      </c>
      <c r="F178" s="10"/>
      <c r="G178" s="25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</row>
    <row r="179" spans="2:39" ht="43.2" x14ac:dyDescent="0.3">
      <c r="B179" s="10"/>
      <c r="C179" s="11"/>
      <c r="D179" s="11"/>
      <c r="E179" s="11" t="s">
        <v>153</v>
      </c>
      <c r="F179" s="10"/>
      <c r="G179" s="25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</row>
    <row r="180" spans="2:39" ht="28.8" x14ac:dyDescent="0.3">
      <c r="B180" s="10"/>
      <c r="C180" s="11"/>
      <c r="D180" s="11"/>
      <c r="E180" s="11" t="s">
        <v>154</v>
      </c>
      <c r="F180" s="10"/>
      <c r="G180" s="25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</row>
    <row r="181" spans="2:39" ht="28.8" x14ac:dyDescent="0.3">
      <c r="B181" s="10"/>
      <c r="C181" s="11"/>
      <c r="D181" s="11"/>
      <c r="E181" s="11" t="s">
        <v>155</v>
      </c>
      <c r="F181" s="10"/>
      <c r="G181" s="25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</row>
    <row r="182" spans="2:39" x14ac:dyDescent="0.3">
      <c r="B182" s="10"/>
      <c r="C182" s="11"/>
      <c r="D182" s="11"/>
      <c r="E182" s="11" t="s">
        <v>156</v>
      </c>
      <c r="F182" s="10"/>
      <c r="G182" s="25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spans="2:39" x14ac:dyDescent="0.3">
      <c r="B183" s="10"/>
      <c r="C183" s="11"/>
      <c r="D183" s="11"/>
      <c r="E183" s="11" t="s">
        <v>157</v>
      </c>
      <c r="F183" s="10"/>
      <c r="G183" s="25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</row>
    <row r="184" spans="2:39" ht="28.8" x14ac:dyDescent="0.3">
      <c r="B184" s="10"/>
      <c r="C184" s="11"/>
      <c r="D184" s="11"/>
      <c r="E184" s="11" t="s">
        <v>158</v>
      </c>
      <c r="F184" s="10"/>
      <c r="G184" s="25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</row>
    <row r="185" spans="2:39" ht="28.8" x14ac:dyDescent="0.3">
      <c r="B185" s="10"/>
      <c r="C185" s="11"/>
      <c r="D185" s="11"/>
      <c r="E185" s="11" t="s">
        <v>159</v>
      </c>
      <c r="F185" s="10"/>
      <c r="G185" s="25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</row>
    <row r="186" spans="2:39" x14ac:dyDescent="0.3">
      <c r="B186" s="10"/>
      <c r="C186" s="11"/>
      <c r="D186" s="11"/>
      <c r="E186" s="11" t="s">
        <v>160</v>
      </c>
      <c r="F186" s="10"/>
      <c r="G186" s="25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</row>
    <row r="187" spans="2:39" x14ac:dyDescent="0.3">
      <c r="B187" s="10"/>
      <c r="C187" s="11"/>
      <c r="D187" s="11"/>
      <c r="E187" s="11" t="s">
        <v>161</v>
      </c>
      <c r="F187" s="10"/>
      <c r="G187" s="25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</row>
    <row r="188" spans="2:39" x14ac:dyDescent="0.3">
      <c r="B188" s="10"/>
      <c r="C188" s="11"/>
      <c r="D188" s="11"/>
      <c r="E188" s="11" t="s">
        <v>162</v>
      </c>
      <c r="F188" s="10"/>
      <c r="G188" s="25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</row>
    <row r="189" spans="2:39" ht="43.2" x14ac:dyDescent="0.3">
      <c r="B189" s="10"/>
      <c r="C189" s="11"/>
      <c r="D189" s="11" t="s">
        <v>18</v>
      </c>
      <c r="E189" s="11" t="s">
        <v>163</v>
      </c>
      <c r="F189" s="10"/>
      <c r="G189" s="25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</row>
    <row r="190" spans="2:39" ht="57.6" x14ac:dyDescent="0.3">
      <c r="B190" s="10"/>
      <c r="C190" s="11"/>
      <c r="D190" s="11" t="s">
        <v>19</v>
      </c>
      <c r="E190" s="11" t="s">
        <v>164</v>
      </c>
      <c r="F190" s="10"/>
      <c r="G190" s="25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</row>
    <row r="191" spans="2:39" ht="28.8" x14ac:dyDescent="0.3">
      <c r="B191" s="10"/>
      <c r="C191" s="11"/>
      <c r="D191" s="11"/>
      <c r="E191" s="11" t="s">
        <v>165</v>
      </c>
      <c r="F191" s="10"/>
      <c r="G191" s="25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</row>
    <row r="192" spans="2:39" x14ac:dyDescent="0.3">
      <c r="B192" s="13">
        <v>3</v>
      </c>
      <c r="C192" s="14" t="s">
        <v>21</v>
      </c>
      <c r="D192" s="15"/>
      <c r="E192" s="15"/>
      <c r="F192" s="13"/>
      <c r="G192" s="24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</row>
    <row r="193" spans="2:39" ht="43.2" x14ac:dyDescent="0.3">
      <c r="B193" s="10"/>
      <c r="C193" s="11"/>
      <c r="D193" s="11" t="s">
        <v>22</v>
      </c>
      <c r="E193" s="11" t="s">
        <v>224</v>
      </c>
      <c r="F193" s="10"/>
      <c r="G193" s="25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</row>
    <row r="194" spans="2:39" ht="43.2" x14ac:dyDescent="0.3">
      <c r="B194" s="10"/>
      <c r="C194" s="11"/>
      <c r="D194" s="11"/>
      <c r="E194" s="11" t="s">
        <v>225</v>
      </c>
      <c r="F194" s="10"/>
      <c r="G194" s="25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spans="2:39" ht="57.6" x14ac:dyDescent="0.3">
      <c r="B195" s="10"/>
      <c r="C195" s="11"/>
      <c r="D195" s="11" t="s">
        <v>23</v>
      </c>
      <c r="E195" s="11" t="s">
        <v>226</v>
      </c>
      <c r="F195" s="10"/>
      <c r="G195" s="25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spans="2:39" ht="28.8" x14ac:dyDescent="0.3">
      <c r="B196" s="10"/>
      <c r="C196" s="11"/>
      <c r="D196" s="11"/>
      <c r="E196" s="11" t="s">
        <v>227</v>
      </c>
      <c r="F196" s="10"/>
      <c r="G196" s="25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spans="2:39" ht="28.8" x14ac:dyDescent="0.3">
      <c r="B197" s="10"/>
      <c r="C197" s="11"/>
      <c r="D197" s="11"/>
      <c r="E197" s="11" t="s">
        <v>228</v>
      </c>
      <c r="F197" s="10"/>
      <c r="G197" s="25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spans="2:39" ht="57.6" x14ac:dyDescent="0.3">
      <c r="B198" s="10"/>
      <c r="C198" s="11"/>
      <c r="D198" s="11" t="s">
        <v>24</v>
      </c>
      <c r="E198" s="11" t="s">
        <v>24</v>
      </c>
      <c r="F198" s="10"/>
      <c r="G198" s="25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spans="2:39" x14ac:dyDescent="0.3">
      <c r="B199" s="13">
        <v>4</v>
      </c>
      <c r="C199" s="14" t="s">
        <v>25</v>
      </c>
      <c r="D199" s="15"/>
      <c r="E199" s="15"/>
      <c r="F199" s="13"/>
      <c r="G199" s="24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</row>
    <row r="200" spans="2:39" ht="72" x14ac:dyDescent="0.3">
      <c r="B200" s="10"/>
      <c r="C200" s="11"/>
      <c r="D200" s="11" t="s">
        <v>26</v>
      </c>
      <c r="E200" s="11" t="s">
        <v>229</v>
      </c>
      <c r="F200" s="10"/>
      <c r="G200" s="25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spans="2:39" ht="86.4" x14ac:dyDescent="0.3">
      <c r="B201" s="10"/>
      <c r="C201" s="11"/>
      <c r="D201" s="11" t="s">
        <v>27</v>
      </c>
      <c r="E201" s="11" t="s">
        <v>230</v>
      </c>
      <c r="F201" s="10"/>
      <c r="G201" s="25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spans="2:39" ht="100.8" x14ac:dyDescent="0.3">
      <c r="B202" s="10"/>
      <c r="C202" s="11"/>
      <c r="D202" s="11" t="s">
        <v>28</v>
      </c>
      <c r="E202" s="11" t="s">
        <v>231</v>
      </c>
      <c r="F202" s="10"/>
      <c r="G202" s="25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spans="2:39" ht="86.4" x14ac:dyDescent="0.3">
      <c r="B203" s="10"/>
      <c r="C203" s="11"/>
      <c r="D203" s="11" t="s">
        <v>29</v>
      </c>
      <c r="E203" s="11" t="s">
        <v>232</v>
      </c>
      <c r="F203" s="10"/>
      <c r="G203" s="25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spans="2:39" ht="57.6" x14ac:dyDescent="0.3">
      <c r="B204" s="10"/>
      <c r="C204" s="11"/>
      <c r="D204" s="11" t="s">
        <v>30</v>
      </c>
      <c r="E204" s="11" t="s">
        <v>233</v>
      </c>
      <c r="F204" s="10"/>
      <c r="G204" s="25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spans="2:39" ht="72" x14ac:dyDescent="0.3">
      <c r="B205" s="10"/>
      <c r="C205" s="11"/>
      <c r="D205" s="11" t="s">
        <v>31</v>
      </c>
      <c r="E205" s="11" t="s">
        <v>234</v>
      </c>
      <c r="F205" s="10"/>
      <c r="G205" s="25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spans="2:39" x14ac:dyDescent="0.3">
      <c r="B206" s="13">
        <v>5</v>
      </c>
      <c r="C206" s="14" t="s">
        <v>32</v>
      </c>
      <c r="D206" s="15"/>
      <c r="E206" s="15"/>
      <c r="F206" s="13"/>
      <c r="G206" s="24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</row>
    <row r="207" spans="2:39" ht="72" x14ac:dyDescent="0.3">
      <c r="B207" s="10"/>
      <c r="C207" s="11"/>
      <c r="D207" s="11" t="s">
        <v>33</v>
      </c>
      <c r="E207" s="11" t="s">
        <v>235</v>
      </c>
      <c r="F207" s="10"/>
      <c r="G207" s="25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spans="2:39" ht="43.2" x14ac:dyDescent="0.3">
      <c r="B208" s="10"/>
      <c r="C208" s="11"/>
      <c r="D208" s="11"/>
      <c r="E208" s="11" t="s">
        <v>236</v>
      </c>
      <c r="F208" s="10"/>
      <c r="G208" s="25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spans="2:39" ht="43.2" x14ac:dyDescent="0.3">
      <c r="B209" s="10"/>
      <c r="C209" s="11"/>
      <c r="D209" s="11" t="s">
        <v>34</v>
      </c>
      <c r="E209" s="11" t="s">
        <v>237</v>
      </c>
      <c r="F209" s="10"/>
      <c r="G209" s="25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spans="2:39" ht="57.6" x14ac:dyDescent="0.3">
      <c r="B210" s="10"/>
      <c r="C210" s="11"/>
      <c r="D210" s="11"/>
      <c r="E210" s="11" t="s">
        <v>238</v>
      </c>
      <c r="F210" s="10"/>
      <c r="G210" s="25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spans="2:39" ht="57.6" x14ac:dyDescent="0.3">
      <c r="B211" s="10"/>
      <c r="C211" s="11"/>
      <c r="D211" s="11" t="s">
        <v>35</v>
      </c>
      <c r="E211" s="11" t="s">
        <v>239</v>
      </c>
      <c r="F211" s="10"/>
      <c r="G211" s="25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</sheetData>
  <mergeCells count="10">
    <mergeCell ref="I2:I3"/>
    <mergeCell ref="H2:H3"/>
    <mergeCell ref="X2:X3"/>
    <mergeCell ref="AM2:AM3"/>
    <mergeCell ref="W2:W3"/>
    <mergeCell ref="K2:V2"/>
    <mergeCell ref="Z2:AK2"/>
    <mergeCell ref="AL2:AL3"/>
    <mergeCell ref="J2:J3"/>
    <mergeCell ref="Y2:Y3"/>
  </mergeCells>
  <pageMargins left="0.13" right="0.12" top="0.75" bottom="0.75" header="0.3" footer="0.3"/>
  <pageSetup paperSize="14" scale="4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rismax11</dc:creator>
  <cp:lastModifiedBy>rismax11</cp:lastModifiedBy>
  <cp:lastPrinted>2026-08-26T07:09:20Z</cp:lastPrinted>
  <dcterms:created xsi:type="dcterms:W3CDTF">2026-08-26T06:06:13Z</dcterms:created>
  <dcterms:modified xsi:type="dcterms:W3CDTF">2026-08-26T07:09:51Z</dcterms:modified>
</cp:coreProperties>
</file>